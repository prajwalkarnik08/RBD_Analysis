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0825EFA-9A75-4A04-A5EF-10433A25080C}" xr6:coauthVersionLast="47" xr6:coauthVersionMax="47" xr10:uidLastSave="{00000000-0000-0000-0000-000000000000}"/>
  <bookViews>
    <workbookView xWindow="-108" yWindow="-108" windowWidth="23256" windowHeight="12456" tabRatio="663" xr2:uid="{00000000-000D-0000-FFFF-FFFF00000000}"/>
  </bookViews>
  <sheets>
    <sheet name="Jassids" sheetId="19" r:id="rId1"/>
    <sheet name="Thrip" sheetId="20" r:id="rId2"/>
    <sheet name="Whitefly" sheetId="6" r:id="rId3"/>
    <sheet name="Aphid" sheetId="18" r:id="rId4"/>
    <sheet name="Mites" sheetId="26" r:id="rId5"/>
    <sheet name="Mealybugs" sheetId="25" r:id="rId6"/>
    <sheet name="RCB" sheetId="17" r:id="rId7"/>
  </sheets>
  <definedNames>
    <definedName name="_xlnm.Print_Area" localSheetId="6">RCB!$A$1:$T$41</definedName>
  </definedNames>
  <calcPr calcId="191029"/>
</workbook>
</file>

<file path=xl/calcChain.xml><?xml version="1.0" encoding="utf-8"?>
<calcChain xmlns="http://schemas.openxmlformats.org/spreadsheetml/2006/main">
  <c r="AB18" i="18" l="1"/>
  <c r="Z10" i="18"/>
  <c r="Z9" i="18"/>
  <c r="Z8" i="18"/>
  <c r="Z7" i="18"/>
  <c r="Z5" i="18"/>
  <c r="Z6" i="18"/>
  <c r="U16" i="18"/>
  <c r="U8" i="18"/>
  <c r="U9" i="18"/>
  <c r="U10" i="18"/>
  <c r="U11" i="18"/>
  <c r="U12" i="18"/>
  <c r="U13" i="18"/>
  <c r="U14" i="18"/>
  <c r="U15" i="18"/>
  <c r="U7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C16" i="18"/>
  <c r="T7" i="18"/>
  <c r="T15" i="18"/>
  <c r="T14" i="18"/>
  <c r="T13" i="18"/>
  <c r="T12" i="18"/>
  <c r="T11" i="18"/>
  <c r="T10" i="18"/>
  <c r="T9" i="18"/>
  <c r="T8" i="18"/>
  <c r="N15" i="18"/>
  <c r="N14" i="18"/>
  <c r="N13" i="18"/>
  <c r="N12" i="18"/>
  <c r="N11" i="18"/>
  <c r="N10" i="18"/>
  <c r="N9" i="18"/>
  <c r="N8" i="18"/>
  <c r="N7" i="18"/>
  <c r="H15" i="18"/>
  <c r="H14" i="18"/>
  <c r="H13" i="18"/>
  <c r="H12" i="18"/>
  <c r="H11" i="18"/>
  <c r="H10" i="18"/>
  <c r="H9" i="18"/>
  <c r="H8" i="18"/>
  <c r="H7" i="18"/>
  <c r="AF11" i="6"/>
  <c r="AF10" i="6"/>
  <c r="AF9" i="6"/>
  <c r="AF8" i="6"/>
  <c r="AF7" i="6"/>
  <c r="AF6" i="6"/>
  <c r="U30" i="6"/>
  <c r="T30" i="6"/>
  <c r="U22" i="6"/>
  <c r="U23" i="6"/>
  <c r="U24" i="6"/>
  <c r="U25" i="6"/>
  <c r="U26" i="6"/>
  <c r="U27" i="6"/>
  <c r="U28" i="6"/>
  <c r="U29" i="6"/>
  <c r="U21" i="6"/>
  <c r="T21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C30" i="6"/>
  <c r="X11" i="6"/>
  <c r="X9" i="6"/>
  <c r="X10" i="6"/>
  <c r="AA9" i="20"/>
  <c r="AA7" i="20"/>
  <c r="H16" i="20"/>
  <c r="H16" i="6"/>
  <c r="C16" i="6"/>
  <c r="X7" i="6"/>
  <c r="T29" i="6"/>
  <c r="T28" i="6"/>
  <c r="T27" i="6"/>
  <c r="T26" i="6"/>
  <c r="T25" i="6"/>
  <c r="T24" i="6"/>
  <c r="T23" i="6"/>
  <c r="T22" i="6"/>
  <c r="N22" i="6"/>
  <c r="N23" i="6"/>
  <c r="N24" i="6"/>
  <c r="N25" i="6"/>
  <c r="N26" i="6"/>
  <c r="N27" i="6"/>
  <c r="N28" i="6"/>
  <c r="N29" i="6"/>
  <c r="N21" i="6"/>
  <c r="H22" i="6"/>
  <c r="H23" i="6"/>
  <c r="H24" i="6"/>
  <c r="H25" i="6"/>
  <c r="H26" i="6"/>
  <c r="H27" i="6"/>
  <c r="H28" i="6"/>
  <c r="H29" i="6"/>
  <c r="H21" i="6"/>
  <c r="U16" i="6"/>
  <c r="X6" i="6" s="1"/>
  <c r="U8" i="6"/>
  <c r="U9" i="6"/>
  <c r="U10" i="6"/>
  <c r="U11" i="6"/>
  <c r="U12" i="6"/>
  <c r="U13" i="6"/>
  <c r="U14" i="6"/>
  <c r="U15" i="6"/>
  <c r="U7" i="6"/>
  <c r="T7" i="6"/>
  <c r="N7" i="6"/>
  <c r="D16" i="6"/>
  <c r="E16" i="6"/>
  <c r="F16" i="6"/>
  <c r="G16" i="6"/>
  <c r="I16" i="6"/>
  <c r="J16" i="6"/>
  <c r="K16" i="6"/>
  <c r="L16" i="6"/>
  <c r="M16" i="6"/>
  <c r="N16" i="6"/>
  <c r="O16" i="6"/>
  <c r="P16" i="6"/>
  <c r="Q16" i="6"/>
  <c r="R16" i="6"/>
  <c r="S16" i="6"/>
  <c r="T16" i="6"/>
  <c r="T15" i="6"/>
  <c r="T14" i="6"/>
  <c r="T13" i="6"/>
  <c r="T12" i="6"/>
  <c r="T11" i="6"/>
  <c r="T10" i="6"/>
  <c r="T9" i="6"/>
  <c r="T8" i="6"/>
  <c r="N15" i="6"/>
  <c r="N14" i="6"/>
  <c r="N13" i="6"/>
  <c r="N12" i="6"/>
  <c r="N11" i="6"/>
  <c r="N10" i="6"/>
  <c r="N9" i="6"/>
  <c r="N8" i="6"/>
  <c r="H8" i="6"/>
  <c r="H9" i="6"/>
  <c r="H10" i="6"/>
  <c r="H11" i="6"/>
  <c r="H12" i="6"/>
  <c r="H13" i="6"/>
  <c r="H14" i="6"/>
  <c r="H15" i="6"/>
  <c r="H7" i="6"/>
  <c r="AL20" i="20"/>
  <c r="AL18" i="20"/>
  <c r="AJ11" i="20"/>
  <c r="AJ10" i="20"/>
  <c r="AJ9" i="20"/>
  <c r="AJ7" i="20"/>
  <c r="AJ8" i="20" s="1"/>
  <c r="AA6" i="20"/>
  <c r="AJ6" i="20"/>
  <c r="AC19" i="20"/>
  <c r="AA10" i="20"/>
  <c r="AA8" i="20"/>
  <c r="X30" i="20"/>
  <c r="X29" i="20"/>
  <c r="X28" i="20"/>
  <c r="X27" i="20"/>
  <c r="X26" i="20"/>
  <c r="X25" i="20"/>
  <c r="X24" i="20"/>
  <c r="X23" i="20"/>
  <c r="X22" i="20"/>
  <c r="X21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C30" i="20"/>
  <c r="T29" i="20"/>
  <c r="T28" i="20"/>
  <c r="T27" i="20"/>
  <c r="T26" i="20"/>
  <c r="T25" i="20"/>
  <c r="T24" i="20"/>
  <c r="T23" i="20"/>
  <c r="T22" i="20"/>
  <c r="T21" i="20"/>
  <c r="N29" i="20"/>
  <c r="N28" i="20"/>
  <c r="N27" i="20"/>
  <c r="N26" i="20"/>
  <c r="N25" i="20"/>
  <c r="N24" i="20"/>
  <c r="N23" i="20"/>
  <c r="N22" i="20"/>
  <c r="N21" i="20"/>
  <c r="H29" i="20"/>
  <c r="H28" i="20"/>
  <c r="H27" i="20"/>
  <c r="H26" i="20"/>
  <c r="H25" i="20"/>
  <c r="H24" i="20"/>
  <c r="H23" i="20"/>
  <c r="H22" i="20"/>
  <c r="H21" i="20"/>
  <c r="X16" i="20"/>
  <c r="X8" i="20"/>
  <c r="X9" i="20"/>
  <c r="X10" i="20"/>
  <c r="X11" i="20"/>
  <c r="X12" i="20"/>
  <c r="X13" i="20"/>
  <c r="X14" i="20"/>
  <c r="X15" i="20"/>
  <c r="X7" i="20"/>
  <c r="N7" i="20"/>
  <c r="D16" i="20"/>
  <c r="E16" i="20"/>
  <c r="F16" i="20"/>
  <c r="G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C16" i="20"/>
  <c r="T15" i="20"/>
  <c r="T14" i="20"/>
  <c r="T13" i="20"/>
  <c r="T12" i="20"/>
  <c r="T11" i="20"/>
  <c r="T10" i="20"/>
  <c r="T9" i="20"/>
  <c r="T8" i="20"/>
  <c r="T7" i="20"/>
  <c r="N15" i="20"/>
  <c r="N14" i="20"/>
  <c r="N13" i="20"/>
  <c r="N12" i="20"/>
  <c r="N11" i="20"/>
  <c r="N10" i="20"/>
  <c r="N9" i="20"/>
  <c r="N8" i="20"/>
  <c r="H8" i="20"/>
  <c r="H9" i="20"/>
  <c r="H10" i="20"/>
  <c r="H11" i="20"/>
  <c r="H12" i="20"/>
  <c r="H13" i="20"/>
  <c r="H14" i="20"/>
  <c r="H15" i="20"/>
  <c r="H7" i="20"/>
  <c r="AJ17" i="19"/>
  <c r="X22" i="19"/>
  <c r="X30" i="19" s="1"/>
  <c r="N30" i="19"/>
  <c r="AH7" i="19"/>
  <c r="X23" i="19"/>
  <c r="X24" i="19"/>
  <c r="X25" i="19"/>
  <c r="X26" i="19"/>
  <c r="X27" i="19"/>
  <c r="X28" i="19"/>
  <c r="X29" i="19"/>
  <c r="X21" i="19"/>
  <c r="T30" i="19"/>
  <c r="N21" i="19"/>
  <c r="C30" i="19"/>
  <c r="X7" i="19"/>
  <c r="T29" i="19"/>
  <c r="T28" i="19"/>
  <c r="T27" i="19"/>
  <c r="T26" i="19"/>
  <c r="T25" i="19"/>
  <c r="T24" i="19"/>
  <c r="T23" i="19"/>
  <c r="T22" i="19"/>
  <c r="T21" i="19"/>
  <c r="N29" i="19"/>
  <c r="N28" i="19"/>
  <c r="N27" i="19"/>
  <c r="N26" i="19"/>
  <c r="N25" i="19"/>
  <c r="N24" i="19"/>
  <c r="N23" i="19"/>
  <c r="N22" i="19"/>
  <c r="H22" i="19"/>
  <c r="H23" i="19"/>
  <c r="H24" i="19"/>
  <c r="H25" i="19"/>
  <c r="H26" i="19"/>
  <c r="H27" i="19"/>
  <c r="H28" i="19"/>
  <c r="H29" i="19"/>
  <c r="H30" i="19"/>
  <c r="H21" i="19"/>
  <c r="I16" i="19"/>
  <c r="J16" i="19"/>
  <c r="K16" i="19"/>
  <c r="L16" i="19"/>
  <c r="M16" i="19"/>
  <c r="O16" i="19"/>
  <c r="P16" i="19"/>
  <c r="Q16" i="19"/>
  <c r="R16" i="19"/>
  <c r="S16" i="19"/>
  <c r="T15" i="19"/>
  <c r="T14" i="19"/>
  <c r="T13" i="19"/>
  <c r="T12" i="19"/>
  <c r="T11" i="19"/>
  <c r="T10" i="19"/>
  <c r="T9" i="19"/>
  <c r="T8" i="19"/>
  <c r="T7" i="19"/>
  <c r="N15" i="19"/>
  <c r="N14" i="19"/>
  <c r="N13" i="19"/>
  <c r="N12" i="19"/>
  <c r="N11" i="19"/>
  <c r="N10" i="19"/>
  <c r="N9" i="19"/>
  <c r="N8" i="19"/>
  <c r="N7" i="19"/>
  <c r="H8" i="19"/>
  <c r="X8" i="19" s="1"/>
  <c r="H9" i="19"/>
  <c r="H10" i="19"/>
  <c r="H11" i="19"/>
  <c r="X11" i="19" s="1"/>
  <c r="H12" i="19"/>
  <c r="X12" i="19" s="1"/>
  <c r="H13" i="19"/>
  <c r="H14" i="19"/>
  <c r="H15" i="19"/>
  <c r="X15" i="19" s="1"/>
  <c r="AA11" i="20" l="1"/>
  <c r="X8" i="6"/>
  <c r="AH6" i="19"/>
  <c r="N16" i="19"/>
  <c r="X14" i="19"/>
  <c r="T16" i="19"/>
  <c r="X10" i="19"/>
  <c r="X13" i="19"/>
  <c r="X9" i="19"/>
  <c r="AH8" i="19" l="1"/>
  <c r="AH9" i="19"/>
  <c r="Z21" i="18" l="1"/>
  <c r="Z20" i="18"/>
  <c r="Z19" i="18"/>
  <c r="Z18" i="18"/>
  <c r="AF22" i="6"/>
  <c r="AF21" i="6"/>
  <c r="AF20" i="6"/>
  <c r="AF19" i="6"/>
  <c r="X22" i="6"/>
  <c r="X21" i="6"/>
  <c r="X20" i="6"/>
  <c r="X19" i="6"/>
  <c r="AJ21" i="20"/>
  <c r="AJ20" i="20"/>
  <c r="AJ19" i="20"/>
  <c r="AJ18" i="20"/>
  <c r="AA21" i="20"/>
  <c r="AA20" i="20"/>
  <c r="AA19" i="20"/>
  <c r="AA18" i="20"/>
  <c r="AH20" i="19"/>
  <c r="AH19" i="19"/>
  <c r="AH18" i="19"/>
  <c r="AH17" i="19"/>
  <c r="AA20" i="19"/>
  <c r="AA19" i="19"/>
  <c r="AA18" i="19"/>
  <c r="AA17" i="19"/>
  <c r="AA19" i="18" l="1"/>
  <c r="AB19" i="18" s="1"/>
  <c r="AA18" i="18"/>
  <c r="Y19" i="6"/>
  <c r="Z19" i="6" s="1"/>
  <c r="Y20" i="6"/>
  <c r="Z20" i="6" s="1"/>
  <c r="AG22" i="6"/>
  <c r="AG20" i="6"/>
  <c r="AH20" i="6" s="1"/>
  <c r="AG19" i="6"/>
  <c r="AH19" i="6" s="1"/>
  <c r="AK19" i="20"/>
  <c r="AL19" i="20" s="1"/>
  <c r="AK18" i="20"/>
  <c r="AA20" i="18" l="1"/>
  <c r="AB20" i="18" s="1"/>
  <c r="AA23" i="18" s="1"/>
  <c r="AA25" i="18" s="1"/>
  <c r="AA21" i="18"/>
  <c r="Y21" i="6"/>
  <c r="Z21" i="6" s="1"/>
  <c r="Y24" i="6" s="1"/>
  <c r="AG21" i="6"/>
  <c r="AH21" i="6" s="1"/>
  <c r="AG24" i="6" s="1"/>
  <c r="AG26" i="6" s="1"/>
  <c r="Y22" i="6"/>
  <c r="AK21" i="20"/>
  <c r="AK20" i="20"/>
  <c r="AM18" i="20" s="1"/>
  <c r="AC19" i="18" l="1"/>
  <c r="AC18" i="18"/>
  <c r="AA20" i="6"/>
  <c r="AI20" i="6"/>
  <c r="AI19" i="6"/>
  <c r="AB19" i="20"/>
  <c r="AB18" i="20"/>
  <c r="AC18" i="20" s="1"/>
  <c r="Y26" i="6"/>
  <c r="AA19" i="6"/>
  <c r="AK23" i="20"/>
  <c r="AK25" i="20" s="1"/>
  <c r="AM19" i="20"/>
  <c r="AB21" i="20" l="1"/>
  <c r="AB20" i="20"/>
  <c r="S30" i="19"/>
  <c r="R30" i="19"/>
  <c r="Q30" i="19"/>
  <c r="P30" i="19"/>
  <c r="O30" i="19"/>
  <c r="M30" i="19"/>
  <c r="L30" i="19"/>
  <c r="K30" i="19"/>
  <c r="J30" i="19"/>
  <c r="I30" i="19"/>
  <c r="G30" i="19"/>
  <c r="F30" i="19"/>
  <c r="E30" i="19"/>
  <c r="D30" i="19"/>
  <c r="D16" i="19"/>
  <c r="E16" i="19"/>
  <c r="F16" i="19"/>
  <c r="G16" i="19"/>
  <c r="H26" i="18"/>
  <c r="H23" i="18"/>
  <c r="C7" i="19"/>
  <c r="H7" i="19" s="1"/>
  <c r="AC20" i="20" l="1"/>
  <c r="AD19" i="20" s="1"/>
  <c r="C16" i="19"/>
  <c r="H16" i="19"/>
  <c r="AA7" i="19"/>
  <c r="AH10" i="19"/>
  <c r="AI17" i="19"/>
  <c r="AB23" i="20" l="1"/>
  <c r="AB25" i="20" s="1"/>
  <c r="AD18" i="20"/>
  <c r="AI18" i="19"/>
  <c r="AJ18" i="19" s="1"/>
  <c r="AH11" i="19"/>
  <c r="AI19" i="19" s="1"/>
  <c r="AJ19" i="19" s="1"/>
  <c r="X16" i="19"/>
  <c r="AA6" i="19" s="1"/>
  <c r="AA9" i="19" s="1"/>
  <c r="AB17" i="19" s="1"/>
  <c r="AC17" i="19" s="1"/>
  <c r="AI20" i="19"/>
  <c r="AA10" i="19" l="1"/>
  <c r="AB18" i="19" s="1"/>
  <c r="AC18" i="19" s="1"/>
  <c r="AK17" i="19"/>
  <c r="AI22" i="19"/>
  <c r="AI24" i="19" s="1"/>
  <c r="AK18" i="19"/>
  <c r="AA8" i="19"/>
  <c r="AA11" i="19" l="1"/>
  <c r="AB19" i="19" s="1"/>
  <c r="AB20" i="19"/>
  <c r="AC19" i="19" l="1"/>
  <c r="AD17" i="19" l="1"/>
  <c r="AD18" i="19"/>
  <c r="AB22" i="19"/>
  <c r="AB24" i="19" s="1"/>
</calcChain>
</file>

<file path=xl/sharedStrings.xml><?xml version="1.0" encoding="utf-8"?>
<sst xmlns="http://schemas.openxmlformats.org/spreadsheetml/2006/main" count="791" uniqueCount="91">
  <si>
    <t>SN</t>
  </si>
  <si>
    <t>R-I</t>
  </si>
  <si>
    <t>R-II</t>
  </si>
  <si>
    <t>R-III</t>
  </si>
  <si>
    <t>Mean</t>
  </si>
  <si>
    <t xml:space="preserve">Whitefly observation 90 DAS </t>
  </si>
  <si>
    <t xml:space="preserve">No. of Whitefly/3 leaves </t>
  </si>
  <si>
    <t xml:space="preserve">No. of Thrips/3 leaves </t>
  </si>
  <si>
    <t xml:space="preserve">No. of Jassids/3 leaves </t>
  </si>
  <si>
    <t xml:space="preserve">No. of Aphids/3 leaves </t>
  </si>
  <si>
    <t xml:space="preserve">Whitefly observation 30 DAS </t>
  </si>
  <si>
    <t xml:space="preserve">Whitefly observation 60 DAS  </t>
  </si>
  <si>
    <t>APGC-01</t>
  </si>
  <si>
    <t>APGC-02</t>
  </si>
  <si>
    <t>PGK-03</t>
  </si>
  <si>
    <t>PGK-04</t>
  </si>
  <si>
    <t>NBT-01</t>
  </si>
  <si>
    <t>NBT-02</t>
  </si>
  <si>
    <t>RCH-659 BGII</t>
  </si>
  <si>
    <t>Ankur 216 BGII</t>
  </si>
  <si>
    <t>Ankur 888 BGII</t>
  </si>
  <si>
    <t xml:space="preserve">Thrips observation 30 DAS </t>
  </si>
  <si>
    <t xml:space="preserve">Thrips observation 60 DAS  </t>
  </si>
  <si>
    <t xml:space="preserve">Thrips observation 90 DAS </t>
  </si>
  <si>
    <t xml:space="preserve">Jassids observation 30 DAS </t>
  </si>
  <si>
    <t xml:space="preserve">Jassids observation 60 DAS  </t>
  </si>
  <si>
    <t>Thrips injury rating scale</t>
  </si>
  <si>
    <t>R-I (Plant no.)</t>
  </si>
  <si>
    <t>R-II (Plant no.)</t>
  </si>
  <si>
    <t>R-III (Plant no.)</t>
  </si>
  <si>
    <t>Ankur Seeds Pvt Ltd, Nagpur: Biosafety research level-1 First year Trial_(Non target Organisms)                                          Trial Site: ANK-MP-1 (Khargone)</t>
  </si>
  <si>
    <t xml:space="preserve">Jassids observation 90 DAS </t>
  </si>
  <si>
    <t xml:space="preserve">Aphids observation 30 DAS </t>
  </si>
  <si>
    <t xml:space="preserve">Aphids observation 60 DAS  </t>
  </si>
  <si>
    <t xml:space="preserve">Aphids observation 90 DAS </t>
  </si>
  <si>
    <t>Jassid Injury Grade</t>
  </si>
  <si>
    <t>No. of Mealybugs/plant</t>
  </si>
  <si>
    <t xml:space="preserve">Mealybugs observation 30 DAS </t>
  </si>
  <si>
    <t xml:space="preserve">Mealybugs observation 60 DAS </t>
  </si>
  <si>
    <t xml:space="preserve">Mealybugs observation 90 DAS </t>
  </si>
  <si>
    <t>Treatments</t>
  </si>
  <si>
    <t>Ankur Seeds Pvt Ltd, Nagpur: Biosafety research level-1 First year Trial_(Non target Organisms)                       Trial Site: ANK-MP-1 (Khargone)</t>
  </si>
  <si>
    <t>Ankur Seeds Pvt Ltd, Nagpur: Biosafety research level-1 First year Trial_(Non target Organisms)                             Trial Site: ANK-MP-1 (Khargone)</t>
  </si>
  <si>
    <t>Ankur Seeds Pvt Ltd, Nagpur: Biosafety research level-1 First year Trial_(Non target Organisms)                            Trial Site: ANK-MP-1 (Khargone)</t>
  </si>
  <si>
    <t>Date of sowing:                                                    Spacing: 120  x 60 cm                                   No. of rows: 6                            No. of dibbles: 10</t>
  </si>
  <si>
    <t>No. of Red cotton bugs</t>
  </si>
  <si>
    <t>Red cotton bug (Nymph &amp; Adult) Observation 120 DAS (5 plant Observations)</t>
  </si>
  <si>
    <t xml:space="preserve">Red Spider Mites observation 30 DAS </t>
  </si>
  <si>
    <t xml:space="preserve">Red Spider Mites observation 60 DAS  </t>
  </si>
  <si>
    <t xml:space="preserve">Red Spider Mites observation 90 DAS </t>
  </si>
  <si>
    <t>7 pages</t>
  </si>
  <si>
    <t>Red cotton bug (Nymph &amp; Adult)  observation 135 DAS  (5 plant Observations)</t>
  </si>
  <si>
    <t>Red cotton bug (Nymph &amp; Adult)  observation 150 DAS  (5 plant Observations)</t>
  </si>
  <si>
    <t>II</t>
  </si>
  <si>
    <t>I</t>
  </si>
  <si>
    <t xml:space="preserve">No. of Mites/3 leaves </t>
  </si>
  <si>
    <t>TOTAL</t>
  </si>
  <si>
    <t>Correction Factor</t>
  </si>
  <si>
    <t>Sum of Square due to Treatments (SST)</t>
  </si>
  <si>
    <t>Sum of Square due to Error (SSE)</t>
  </si>
  <si>
    <t>Raw Sum of Square</t>
  </si>
  <si>
    <t>Total Sum of Square (TSS)</t>
  </si>
  <si>
    <t>Sum of Square due to Replication (RSS)</t>
  </si>
  <si>
    <t>VARIANCE RATIO</t>
  </si>
  <si>
    <t>SOURCE OF VARIATION</t>
  </si>
  <si>
    <t>DF</t>
  </si>
  <si>
    <t>SS</t>
  </si>
  <si>
    <t>MSS</t>
  </si>
  <si>
    <t>CALCULATED F</t>
  </si>
  <si>
    <t>TABULATED F</t>
  </si>
  <si>
    <t>REPLICATION</t>
  </si>
  <si>
    <t>TREATMENTS</t>
  </si>
  <si>
    <t>ERROR</t>
  </si>
  <si>
    <t>SE</t>
  </si>
  <si>
    <t>Critical difference at 5% level of Significance</t>
  </si>
  <si>
    <t>CD = t-value (for error df) * SE</t>
  </si>
  <si>
    <t>t-value is calculated using R function qt(1-alpha/2, df1, df2) for two-tailed test</t>
  </si>
  <si>
    <t>Null Hypothesis:</t>
  </si>
  <si>
    <t>All the treatments are Insignificant</t>
  </si>
  <si>
    <t>Alternate Hypothesis:</t>
  </si>
  <si>
    <t>As Cal F &lt; Tab F, the data do not provide any evidence against the Null Hypothesis which may be accepted.</t>
  </si>
  <si>
    <t>At least one of the treatment is Significant</t>
  </si>
  <si>
    <t>As Cal F &gt; Tab F, Null hypothesis is rejected and we say that at least one of the Treatment is Significant.</t>
  </si>
  <si>
    <t>Thrips observation 30 DAS</t>
  </si>
  <si>
    <t>Jassids observation 30 DAS</t>
  </si>
  <si>
    <t>Jassids observation 60 DAS</t>
  </si>
  <si>
    <t>Thrips observation 60 DAS</t>
  </si>
  <si>
    <t>No. of Whitefly/3 leaves</t>
  </si>
  <si>
    <t>Whitefly observation 30 DAS</t>
  </si>
  <si>
    <t>Whitefly observation 60 DAS</t>
  </si>
  <si>
    <t>Aphid observation 30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</si>
</sst>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0" borderId="25" xfId="0" applyFont="1" applyBorder="1" applyAlignment="1">
      <alignment horizontal="left"/>
    </xf>
    <xf numFmtId="0" fontId="7" fillId="0" borderId="23" xfId="0" applyFont="1" applyBorder="1"/>
    <xf numFmtId="0" fontId="7" fillId="0" borderId="0" xfId="0" applyFont="1"/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4" borderId="25" xfId="0" applyFont="1" applyFill="1" applyBorder="1" applyAlignment="1">
      <alignment horizontal="center"/>
    </xf>
    <xf numFmtId="0" fontId="8" fillId="4" borderId="26" xfId="0" applyFont="1" applyFill="1" applyBorder="1"/>
    <xf numFmtId="0" fontId="7" fillId="0" borderId="25" xfId="0" applyFont="1" applyBorder="1"/>
    <xf numFmtId="0" fontId="7" fillId="0" borderId="26" xfId="0" applyFont="1" applyBorder="1"/>
    <xf numFmtId="0" fontId="7" fillId="0" borderId="24" xfId="0" applyFont="1" applyBorder="1"/>
    <xf numFmtId="0" fontId="8" fillId="4" borderId="25" xfId="0" applyFont="1" applyFill="1" applyBorder="1"/>
    <xf numFmtId="1" fontId="7" fillId="0" borderId="23" xfId="0" applyNumberFormat="1" applyFont="1" applyBorder="1" applyAlignment="1">
      <alignment horizontal="center"/>
    </xf>
    <xf numFmtId="0" fontId="7" fillId="4" borderId="0" xfId="0" applyFont="1" applyFill="1"/>
    <xf numFmtId="1" fontId="7" fillId="0" borderId="0" xfId="0" applyNumberFormat="1" applyFont="1" applyAlignment="1">
      <alignment horizontal="center"/>
    </xf>
    <xf numFmtId="1" fontId="8" fillId="0" borderId="23" xfId="0" applyNumberFormat="1" applyFont="1" applyBorder="1" applyAlignment="1">
      <alignment horizontal="center"/>
    </xf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 applyAlignment="1">
      <alignment horizontal="center"/>
    </xf>
    <xf numFmtId="1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1" fontId="7" fillId="0" borderId="28" xfId="0" applyNumberFormat="1" applyFont="1" applyBorder="1" applyAlignment="1">
      <alignment horizontal="center"/>
    </xf>
    <xf numFmtId="0" fontId="0" fillId="0" borderId="29" xfId="0" applyBorder="1" applyAlignment="1">
      <alignment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0" fillId="0" borderId="2" xfId="0" applyNumberFormat="1" applyBorder="1" applyAlignment="1">
      <alignment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CCFF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517A-1D79-4E62-8F03-22C6039DE04D}">
  <dimension ref="A1:AL62"/>
  <sheetViews>
    <sheetView tabSelected="1" zoomScaleNormal="100" workbookViewId="0">
      <selection activeCell="AJ18" sqref="AJ18"/>
    </sheetView>
  </sheetViews>
  <sheetFormatPr defaultRowHeight="14.4" x14ac:dyDescent="0.3"/>
  <cols>
    <col min="1" max="1" width="3.109375" style="5" customWidth="1"/>
    <col min="2" max="2" width="13.5546875" style="16" bestFit="1" customWidth="1"/>
    <col min="3" max="19" width="5.33203125" style="5" customWidth="1"/>
    <col min="20" max="20" width="5.33203125" style="4" customWidth="1"/>
    <col min="21" max="23" width="5.33203125" style="5" customWidth="1"/>
    <col min="24" max="25" width="8.88671875" style="4"/>
    <col min="26" max="26" width="36.44140625" style="4" bestFit="1" customWidth="1"/>
    <col min="27" max="27" width="8.88671875" style="4"/>
    <col min="28" max="28" width="10.33203125" style="4" customWidth="1"/>
    <col min="29" max="29" width="8.88671875" style="4"/>
    <col min="30" max="30" width="19.88671875" style="4" bestFit="1" customWidth="1"/>
    <col min="31" max="31" width="14.88671875" style="4" bestFit="1" customWidth="1"/>
    <col min="32" max="32" width="8.88671875" style="4"/>
    <col min="33" max="33" width="36.44140625" style="4" bestFit="1" customWidth="1"/>
    <col min="34" max="16384" width="8.88671875" style="4"/>
  </cols>
  <sheetData>
    <row r="1" spans="1:38" ht="15" customHeight="1" x14ac:dyDescent="0.3">
      <c r="A1" s="98" t="s">
        <v>30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38" ht="15" thickBot="1" x14ac:dyDescent="0.35">
      <c r="A2" s="101" t="s">
        <v>44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1:38" ht="15" customHeight="1" x14ac:dyDescent="0.3">
      <c r="A3" s="99" t="s">
        <v>24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00"/>
      <c r="V3" s="100"/>
      <c r="W3" s="100"/>
      <c r="Z3" s="95" t="s">
        <v>84</v>
      </c>
      <c r="AA3" s="96"/>
      <c r="AB3" s="96"/>
      <c r="AC3" s="96"/>
      <c r="AD3" s="96"/>
      <c r="AE3" s="97"/>
      <c r="AG3" s="95" t="s">
        <v>85</v>
      </c>
      <c r="AH3" s="96"/>
      <c r="AI3" s="96"/>
      <c r="AJ3" s="96"/>
      <c r="AK3" s="96"/>
      <c r="AL3" s="97"/>
    </row>
    <row r="4" spans="1:38" ht="13.2" customHeight="1" x14ac:dyDescent="0.3">
      <c r="A4" s="77" t="s">
        <v>0</v>
      </c>
      <c r="B4" s="80" t="s">
        <v>40</v>
      </c>
      <c r="C4" s="83" t="s">
        <v>8</v>
      </c>
      <c r="D4" s="84"/>
      <c r="E4" s="84"/>
      <c r="F4" s="84"/>
      <c r="G4" s="84"/>
      <c r="H4" s="84"/>
      <c r="I4" s="86" t="s">
        <v>8</v>
      </c>
      <c r="J4" s="84"/>
      <c r="K4" s="84"/>
      <c r="L4" s="84"/>
      <c r="M4" s="84"/>
      <c r="N4" s="87"/>
      <c r="O4" s="84" t="s">
        <v>8</v>
      </c>
      <c r="P4" s="84"/>
      <c r="Q4" s="84"/>
      <c r="R4" s="84"/>
      <c r="S4" s="84"/>
      <c r="T4" s="84"/>
      <c r="U4" s="70" t="s">
        <v>35</v>
      </c>
      <c r="V4" s="70"/>
      <c r="W4" s="70"/>
      <c r="X4" s="9"/>
      <c r="Z4" s="38"/>
      <c r="AE4" s="39"/>
      <c r="AG4" s="38"/>
      <c r="AL4" s="39"/>
    </row>
    <row r="5" spans="1:38" ht="12.9" customHeight="1" x14ac:dyDescent="0.3">
      <c r="A5" s="78"/>
      <c r="B5" s="81"/>
      <c r="C5" s="88" t="s">
        <v>27</v>
      </c>
      <c r="D5" s="89"/>
      <c r="E5" s="89"/>
      <c r="F5" s="89"/>
      <c r="G5" s="89"/>
      <c r="H5" s="89"/>
      <c r="I5" s="91" t="s">
        <v>28</v>
      </c>
      <c r="J5" s="89"/>
      <c r="K5" s="89"/>
      <c r="L5" s="89"/>
      <c r="M5" s="89"/>
      <c r="N5" s="92"/>
      <c r="O5" s="89" t="s">
        <v>29</v>
      </c>
      <c r="P5" s="89"/>
      <c r="Q5" s="89"/>
      <c r="R5" s="89"/>
      <c r="S5" s="89"/>
      <c r="T5" s="89"/>
      <c r="U5" s="70"/>
      <c r="V5" s="70"/>
      <c r="W5" s="70"/>
      <c r="X5" s="9"/>
      <c r="Z5" s="38"/>
      <c r="AE5" s="39"/>
      <c r="AG5" s="38"/>
      <c r="AL5" s="39"/>
    </row>
    <row r="6" spans="1:38" ht="12.9" customHeight="1" x14ac:dyDescent="0.25">
      <c r="A6" s="79"/>
      <c r="B6" s="82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20" t="s">
        <v>4</v>
      </c>
      <c r="I6" s="21">
        <v>1</v>
      </c>
      <c r="J6" s="19">
        <v>2</v>
      </c>
      <c r="K6" s="19">
        <v>3</v>
      </c>
      <c r="L6" s="19">
        <v>4</v>
      </c>
      <c r="M6" s="19">
        <v>5</v>
      </c>
      <c r="N6" s="22" t="s">
        <v>4</v>
      </c>
      <c r="O6" s="23">
        <v>1</v>
      </c>
      <c r="P6" s="19">
        <v>2</v>
      </c>
      <c r="Q6" s="19">
        <v>3</v>
      </c>
      <c r="R6" s="19">
        <v>4</v>
      </c>
      <c r="S6" s="19">
        <v>5</v>
      </c>
      <c r="T6" s="20" t="s">
        <v>4</v>
      </c>
      <c r="U6" s="25" t="s">
        <v>1</v>
      </c>
      <c r="V6" s="25" t="s">
        <v>2</v>
      </c>
      <c r="W6" s="25" t="s">
        <v>3</v>
      </c>
      <c r="X6" s="31" t="s">
        <v>56</v>
      </c>
      <c r="Z6" s="40" t="s">
        <v>57</v>
      </c>
      <c r="AA6" s="9">
        <f>X16^2/27</f>
        <v>38.880000000000003</v>
      </c>
      <c r="AE6" s="39"/>
      <c r="AG6" s="40" t="s">
        <v>57</v>
      </c>
      <c r="AH6" s="9">
        <f>X30^2/27</f>
        <v>88.925925925925966</v>
      </c>
      <c r="AL6" s="39"/>
    </row>
    <row r="7" spans="1:38" ht="12.9" customHeight="1" x14ac:dyDescent="0.3">
      <c r="A7" s="8">
        <v>1</v>
      </c>
      <c r="B7" s="9" t="s">
        <v>12</v>
      </c>
      <c r="C7" s="1">
        <f>J12</f>
        <v>1</v>
      </c>
      <c r="D7" s="1">
        <v>0</v>
      </c>
      <c r="E7" s="1">
        <v>2</v>
      </c>
      <c r="F7" s="1">
        <v>2</v>
      </c>
      <c r="G7" s="1">
        <v>2</v>
      </c>
      <c r="H7" s="15">
        <f>AVERAGE(C7:G7)</f>
        <v>1.4</v>
      </c>
      <c r="I7" s="3">
        <v>0</v>
      </c>
      <c r="J7" s="1">
        <v>1</v>
      </c>
      <c r="K7" s="1">
        <v>1</v>
      </c>
      <c r="L7" s="1">
        <v>0</v>
      </c>
      <c r="M7" s="1">
        <v>0</v>
      </c>
      <c r="N7" s="15">
        <f>AVERAGE(I7:M7)</f>
        <v>0.4</v>
      </c>
      <c r="O7" s="2">
        <v>3</v>
      </c>
      <c r="P7" s="1">
        <v>4</v>
      </c>
      <c r="Q7" s="1">
        <v>2</v>
      </c>
      <c r="R7" s="1">
        <v>2</v>
      </c>
      <c r="S7" s="1">
        <v>3</v>
      </c>
      <c r="T7" s="15">
        <f>AVERAGE(O7:S7)</f>
        <v>2.8</v>
      </c>
      <c r="U7" s="12" t="s">
        <v>54</v>
      </c>
      <c r="V7" s="12" t="s">
        <v>54</v>
      </c>
      <c r="W7" s="12" t="s">
        <v>54</v>
      </c>
      <c r="X7" s="117">
        <f>SUM(H7,N7,T7)</f>
        <v>4.5999999999999996</v>
      </c>
      <c r="Z7" s="40" t="s">
        <v>60</v>
      </c>
      <c r="AA7" s="9">
        <f>SUMSQ(H7:H15,N7:N15,T7:T15)</f>
        <v>68.160000000000011</v>
      </c>
      <c r="AE7" s="39"/>
      <c r="AG7" s="40" t="s">
        <v>60</v>
      </c>
      <c r="AH7" s="9">
        <f>SUMSQ(H21:H29,N21:N29,T21:T29)</f>
        <v>105.96000000000002</v>
      </c>
      <c r="AL7" s="39"/>
    </row>
    <row r="8" spans="1:38" ht="12.9" customHeight="1" x14ac:dyDescent="0.3">
      <c r="A8" s="8">
        <v>2</v>
      </c>
      <c r="B8" s="13" t="s">
        <v>13</v>
      </c>
      <c r="C8" s="27">
        <v>1</v>
      </c>
      <c r="D8" s="1">
        <v>1</v>
      </c>
      <c r="E8" s="1">
        <v>1</v>
      </c>
      <c r="F8" s="1">
        <v>1</v>
      </c>
      <c r="G8" s="1">
        <v>0</v>
      </c>
      <c r="H8" s="15">
        <f>AVERAGE(C8:G8)</f>
        <v>0.8</v>
      </c>
      <c r="I8" s="3">
        <v>0</v>
      </c>
      <c r="J8" s="3">
        <v>0</v>
      </c>
      <c r="K8" s="3">
        <v>0</v>
      </c>
      <c r="L8" s="3">
        <v>0</v>
      </c>
      <c r="M8" s="1">
        <v>1</v>
      </c>
      <c r="N8" s="15">
        <f>AVERAGE(I8:M8)</f>
        <v>0.2</v>
      </c>
      <c r="O8" s="2">
        <v>1</v>
      </c>
      <c r="P8" s="1">
        <v>2</v>
      </c>
      <c r="Q8" s="1">
        <v>0</v>
      </c>
      <c r="R8" s="1">
        <v>3</v>
      </c>
      <c r="S8" s="1">
        <v>1</v>
      </c>
      <c r="T8" s="15">
        <f>AVERAGE(O8:S8)</f>
        <v>1.4</v>
      </c>
      <c r="U8" s="12" t="s">
        <v>54</v>
      </c>
      <c r="V8" s="12" t="s">
        <v>54</v>
      </c>
      <c r="W8" s="12" t="s">
        <v>54</v>
      </c>
      <c r="X8" s="117">
        <f>SUM(H8,N8,T8)</f>
        <v>2.4</v>
      </c>
      <c r="Z8" s="40" t="s">
        <v>61</v>
      </c>
      <c r="AA8" s="9">
        <f>AA7-AA6</f>
        <v>29.280000000000008</v>
      </c>
      <c r="AE8" s="39"/>
      <c r="AG8" s="40" t="s">
        <v>61</v>
      </c>
      <c r="AH8" s="9">
        <f>AH7-AH6</f>
        <v>17.034074074074056</v>
      </c>
      <c r="AL8" s="39"/>
    </row>
    <row r="9" spans="1:38" ht="12.9" customHeight="1" x14ac:dyDescent="0.3">
      <c r="A9" s="8">
        <v>3</v>
      </c>
      <c r="B9" s="13" t="s">
        <v>19</v>
      </c>
      <c r="C9" s="1">
        <v>1</v>
      </c>
      <c r="D9" s="1">
        <v>1</v>
      </c>
      <c r="E9" s="1">
        <v>0</v>
      </c>
      <c r="F9" s="1">
        <v>1</v>
      </c>
      <c r="G9" s="1">
        <v>1</v>
      </c>
      <c r="H9" s="15">
        <f>AVERAGE(C9:G9)</f>
        <v>0.8</v>
      </c>
      <c r="I9" s="2">
        <v>0</v>
      </c>
      <c r="J9" s="3">
        <v>0</v>
      </c>
      <c r="K9" s="3">
        <v>0</v>
      </c>
      <c r="L9" s="3">
        <v>0</v>
      </c>
      <c r="M9" s="3">
        <v>0</v>
      </c>
      <c r="N9" s="15">
        <f>AVERAGE(I9:M9)</f>
        <v>0</v>
      </c>
      <c r="O9" s="2">
        <v>2</v>
      </c>
      <c r="P9" s="1">
        <v>1</v>
      </c>
      <c r="Q9" s="1">
        <v>0</v>
      </c>
      <c r="R9" s="1">
        <v>0</v>
      </c>
      <c r="S9" s="1">
        <v>0</v>
      </c>
      <c r="T9" s="15">
        <f>AVERAGE(O9:S9)</f>
        <v>0.6</v>
      </c>
      <c r="U9" s="12" t="s">
        <v>54</v>
      </c>
      <c r="V9" s="12" t="s">
        <v>54</v>
      </c>
      <c r="W9" s="12" t="s">
        <v>54</v>
      </c>
      <c r="X9" s="117">
        <f>SUM(H9,N9,T9)</f>
        <v>1.4</v>
      </c>
      <c r="Z9" s="40" t="s">
        <v>62</v>
      </c>
      <c r="AA9" s="9">
        <f>(SUMSQ(H16,N16,T16)/9)-AA6</f>
        <v>18.746666666666663</v>
      </c>
      <c r="AE9" s="39"/>
      <c r="AG9" s="40" t="s">
        <v>62</v>
      </c>
      <c r="AH9" s="9">
        <f>(SUMSQ(H30,N30,T30)/9)-AH6</f>
        <v>3.914074074074037</v>
      </c>
      <c r="AL9" s="39"/>
    </row>
    <row r="10" spans="1:38" ht="12.9" customHeight="1" x14ac:dyDescent="0.3">
      <c r="A10" s="8">
        <v>4</v>
      </c>
      <c r="B10" s="13" t="s">
        <v>20</v>
      </c>
      <c r="C10" s="1">
        <v>1</v>
      </c>
      <c r="D10" s="1">
        <v>0</v>
      </c>
      <c r="E10" s="1">
        <v>1</v>
      </c>
      <c r="F10" s="1">
        <v>1</v>
      </c>
      <c r="G10" s="1">
        <v>1</v>
      </c>
      <c r="H10" s="15">
        <f>AVERAGE(C10:G10)</f>
        <v>0.8</v>
      </c>
      <c r="I10" s="2">
        <v>0</v>
      </c>
      <c r="J10" s="3">
        <v>0</v>
      </c>
      <c r="K10" s="3">
        <v>0</v>
      </c>
      <c r="L10" s="1">
        <v>1</v>
      </c>
      <c r="M10" s="1">
        <v>1</v>
      </c>
      <c r="N10" s="15">
        <f>AVERAGE(I10:M10)</f>
        <v>0.4</v>
      </c>
      <c r="O10" s="2">
        <v>3</v>
      </c>
      <c r="P10" s="1">
        <v>0</v>
      </c>
      <c r="Q10" s="1">
        <v>4</v>
      </c>
      <c r="R10" s="1">
        <v>0</v>
      </c>
      <c r="S10" s="1">
        <v>4</v>
      </c>
      <c r="T10" s="15">
        <f>AVERAGE(O10:S10)</f>
        <v>2.2000000000000002</v>
      </c>
      <c r="U10" s="12" t="s">
        <v>54</v>
      </c>
      <c r="V10" s="12" t="s">
        <v>54</v>
      </c>
      <c r="W10" s="12" t="s">
        <v>54</v>
      </c>
      <c r="X10" s="117">
        <f>SUM(H10,N10,T10)</f>
        <v>3.4000000000000004</v>
      </c>
      <c r="Z10" s="40" t="s">
        <v>58</v>
      </c>
      <c r="AA10" s="9">
        <f>(SUMSQ(X7:X15)/3)-AA6</f>
        <v>5.2800000000000011</v>
      </c>
      <c r="AE10" s="39"/>
      <c r="AG10" s="40" t="s">
        <v>58</v>
      </c>
      <c r="AH10" s="9">
        <f>(SUMSQ(X21:X29)/3)-AH6</f>
        <v>8.740740740740705</v>
      </c>
      <c r="AL10" s="39"/>
    </row>
    <row r="11" spans="1:38" ht="12.9" customHeight="1" x14ac:dyDescent="0.3">
      <c r="A11" s="8">
        <v>5</v>
      </c>
      <c r="B11" s="13" t="s">
        <v>16</v>
      </c>
      <c r="C11" s="1">
        <v>1</v>
      </c>
      <c r="D11" s="1">
        <v>1</v>
      </c>
      <c r="E11" s="1">
        <v>1</v>
      </c>
      <c r="F11" s="1">
        <v>0</v>
      </c>
      <c r="G11" s="1">
        <v>1</v>
      </c>
      <c r="H11" s="15">
        <f>AVERAGE(C11:G11)</f>
        <v>0.8</v>
      </c>
      <c r="I11" s="3">
        <v>0</v>
      </c>
      <c r="J11" s="3">
        <v>0</v>
      </c>
      <c r="K11" s="3">
        <v>0</v>
      </c>
      <c r="L11" s="1">
        <v>1</v>
      </c>
      <c r="M11" s="1">
        <v>1</v>
      </c>
      <c r="N11" s="15">
        <f>AVERAGE(I11:M11)</f>
        <v>0.4</v>
      </c>
      <c r="O11" s="2">
        <v>3</v>
      </c>
      <c r="P11" s="1">
        <v>0</v>
      </c>
      <c r="Q11" s="1">
        <v>4</v>
      </c>
      <c r="R11" s="1">
        <v>3</v>
      </c>
      <c r="S11" s="1">
        <v>5</v>
      </c>
      <c r="T11" s="15">
        <f>AVERAGE(O11:S11)</f>
        <v>3</v>
      </c>
      <c r="U11" s="12" t="s">
        <v>54</v>
      </c>
      <c r="V11" s="12" t="s">
        <v>54</v>
      </c>
      <c r="W11" s="12" t="s">
        <v>54</v>
      </c>
      <c r="X11" s="117">
        <f>SUM(H11,N11,T11)</f>
        <v>4.2</v>
      </c>
      <c r="Z11" s="40" t="s">
        <v>59</v>
      </c>
      <c r="AA11" s="9">
        <f>AA8-AA9-AA10</f>
        <v>5.2533333333333445</v>
      </c>
      <c r="AE11" s="39"/>
      <c r="AG11" s="40" t="s">
        <v>59</v>
      </c>
      <c r="AH11" s="9">
        <f>AH8-AH9-AH10</f>
        <v>4.3792592592593138</v>
      </c>
      <c r="AL11" s="39"/>
    </row>
    <row r="12" spans="1:38" ht="12.9" customHeight="1" x14ac:dyDescent="0.3">
      <c r="A12" s="8">
        <v>6</v>
      </c>
      <c r="B12" s="13" t="s">
        <v>17</v>
      </c>
      <c r="C12" s="1">
        <v>1</v>
      </c>
      <c r="D12" s="1">
        <v>2</v>
      </c>
      <c r="E12" s="1">
        <v>2</v>
      </c>
      <c r="F12" s="1">
        <v>1</v>
      </c>
      <c r="G12" s="1">
        <v>1</v>
      </c>
      <c r="H12" s="15">
        <f>AVERAGE(C12:G12)</f>
        <v>1.4</v>
      </c>
      <c r="I12" s="3">
        <v>1</v>
      </c>
      <c r="J12" s="1">
        <v>1</v>
      </c>
      <c r="K12" s="1">
        <v>0</v>
      </c>
      <c r="L12" s="1">
        <v>1</v>
      </c>
      <c r="M12" s="1">
        <v>0</v>
      </c>
      <c r="N12" s="15">
        <f>AVERAGE(I12:M12)</f>
        <v>0.6</v>
      </c>
      <c r="O12" s="2">
        <v>5</v>
      </c>
      <c r="P12" s="1">
        <v>6</v>
      </c>
      <c r="Q12" s="1">
        <v>3</v>
      </c>
      <c r="R12" s="1">
        <v>3</v>
      </c>
      <c r="S12" s="1">
        <v>5</v>
      </c>
      <c r="T12" s="15">
        <f>AVERAGE(O12:S12)</f>
        <v>4.4000000000000004</v>
      </c>
      <c r="U12" s="12" t="s">
        <v>54</v>
      </c>
      <c r="V12" s="12" t="s">
        <v>54</v>
      </c>
      <c r="W12" s="12" t="s">
        <v>54</v>
      </c>
      <c r="X12" s="117">
        <f>SUM(H12,N12,T12)</f>
        <v>6.4</v>
      </c>
      <c r="Z12" s="38"/>
      <c r="AE12" s="39"/>
      <c r="AG12" s="38"/>
      <c r="AL12" s="39"/>
    </row>
    <row r="13" spans="1:38" ht="12.9" customHeight="1" x14ac:dyDescent="0.3">
      <c r="A13" s="8">
        <v>7</v>
      </c>
      <c r="B13" s="13" t="s">
        <v>14</v>
      </c>
      <c r="C13" s="5">
        <v>1</v>
      </c>
      <c r="D13" s="1">
        <v>1</v>
      </c>
      <c r="E13" s="1">
        <v>1</v>
      </c>
      <c r="F13" s="1">
        <v>1</v>
      </c>
      <c r="G13" s="1">
        <v>0</v>
      </c>
      <c r="H13" s="15">
        <f>AVERAGE(C13:G13)</f>
        <v>0.8</v>
      </c>
      <c r="I13" s="3">
        <v>2</v>
      </c>
      <c r="J13" s="1">
        <v>0</v>
      </c>
      <c r="K13" s="1">
        <v>0</v>
      </c>
      <c r="L13" s="1">
        <v>1</v>
      </c>
      <c r="M13" s="1">
        <v>0</v>
      </c>
      <c r="N13" s="15">
        <f>AVERAGE(I13:M13)</f>
        <v>0.6</v>
      </c>
      <c r="O13" s="2">
        <v>2</v>
      </c>
      <c r="P13" s="1">
        <v>3</v>
      </c>
      <c r="Q13" s="1">
        <v>3</v>
      </c>
      <c r="R13" s="1">
        <v>2</v>
      </c>
      <c r="S13" s="1">
        <v>1</v>
      </c>
      <c r="T13" s="15">
        <f>AVERAGE(O13:S13)</f>
        <v>2.2000000000000002</v>
      </c>
      <c r="U13" s="12" t="s">
        <v>54</v>
      </c>
      <c r="V13" s="12" t="s">
        <v>54</v>
      </c>
      <c r="W13" s="12" t="s">
        <v>54</v>
      </c>
      <c r="X13" s="117">
        <f>SUM(H13,N13,T13)</f>
        <v>3.6</v>
      </c>
      <c r="Z13" s="38"/>
      <c r="AE13" s="39"/>
      <c r="AG13" s="38"/>
      <c r="AL13" s="39"/>
    </row>
    <row r="14" spans="1:38" ht="12.9" customHeight="1" x14ac:dyDescent="0.3">
      <c r="A14" s="8">
        <v>8</v>
      </c>
      <c r="B14" s="13" t="s">
        <v>15</v>
      </c>
      <c r="C14" s="5">
        <v>1</v>
      </c>
      <c r="D14" s="1">
        <v>0</v>
      </c>
      <c r="E14" s="1">
        <v>0</v>
      </c>
      <c r="F14" s="1">
        <v>0</v>
      </c>
      <c r="G14" s="1">
        <v>0</v>
      </c>
      <c r="H14" s="15">
        <f>AVERAGE(C14:G14)</f>
        <v>0.2</v>
      </c>
      <c r="I14" s="3">
        <v>1</v>
      </c>
      <c r="J14" s="1">
        <v>1</v>
      </c>
      <c r="K14" s="1">
        <v>0</v>
      </c>
      <c r="L14" s="1">
        <v>1</v>
      </c>
      <c r="M14" s="1">
        <v>1</v>
      </c>
      <c r="N14" s="15">
        <f>AVERAGE(I14:M14)</f>
        <v>0.8</v>
      </c>
      <c r="O14" s="2">
        <v>3</v>
      </c>
      <c r="P14" s="1">
        <v>1</v>
      </c>
      <c r="Q14" s="1">
        <v>0</v>
      </c>
      <c r="R14" s="1">
        <v>4</v>
      </c>
      <c r="S14" s="1">
        <v>3</v>
      </c>
      <c r="T14" s="15">
        <f>AVERAGE(O14:S14)</f>
        <v>2.2000000000000002</v>
      </c>
      <c r="U14" s="12" t="s">
        <v>54</v>
      </c>
      <c r="V14" s="12" t="s">
        <v>54</v>
      </c>
      <c r="W14" s="12" t="s">
        <v>54</v>
      </c>
      <c r="X14" s="117">
        <f>SUM(H14,N14,T14)</f>
        <v>3.2</v>
      </c>
      <c r="Z14" s="38"/>
      <c r="AE14" s="39"/>
      <c r="AG14" s="38"/>
      <c r="AL14" s="39"/>
    </row>
    <row r="15" spans="1:38" ht="12.9" customHeight="1" x14ac:dyDescent="0.3">
      <c r="A15" s="8">
        <v>9</v>
      </c>
      <c r="B15" s="13" t="s">
        <v>18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5">
        <f>AVERAGE(C15:G15)</f>
        <v>0.4</v>
      </c>
      <c r="I15" s="1">
        <v>0</v>
      </c>
      <c r="J15" s="1">
        <v>0</v>
      </c>
      <c r="K15" s="1">
        <v>0</v>
      </c>
      <c r="L15" s="1">
        <v>1</v>
      </c>
      <c r="M15" s="1">
        <v>1</v>
      </c>
      <c r="N15" s="15">
        <f>AVERAGE(I15:M15)</f>
        <v>0.4</v>
      </c>
      <c r="O15" s="2">
        <v>2</v>
      </c>
      <c r="P15" s="1">
        <v>2</v>
      </c>
      <c r="Q15" s="1">
        <v>4</v>
      </c>
      <c r="R15" s="1">
        <v>3</v>
      </c>
      <c r="S15" s="1">
        <v>1</v>
      </c>
      <c r="T15" s="15">
        <f>AVERAGE(O15:S15)</f>
        <v>2.4</v>
      </c>
      <c r="U15" s="12" t="s">
        <v>54</v>
      </c>
      <c r="V15" s="12" t="s">
        <v>54</v>
      </c>
      <c r="W15" s="12" t="s">
        <v>54</v>
      </c>
      <c r="X15" s="117">
        <f>SUM(H15,N15,T15)</f>
        <v>3.2</v>
      </c>
      <c r="Z15" s="41"/>
      <c r="AA15" s="42"/>
      <c r="AB15" s="43"/>
      <c r="AC15" s="44"/>
      <c r="AD15" s="93" t="s">
        <v>63</v>
      </c>
      <c r="AE15" s="94"/>
      <c r="AG15" s="41"/>
      <c r="AH15" s="42"/>
      <c r="AI15" s="43"/>
      <c r="AJ15" s="44"/>
      <c r="AK15" s="93" t="s">
        <v>63</v>
      </c>
      <c r="AL15" s="94"/>
    </row>
    <row r="16" spans="1:38" ht="12.9" customHeight="1" x14ac:dyDescent="0.3">
      <c r="A16" s="68" t="s">
        <v>56</v>
      </c>
      <c r="B16" s="68"/>
      <c r="C16" s="1">
        <f>SUM(C7:C15)</f>
        <v>8</v>
      </c>
      <c r="D16" s="1">
        <f t="shared" ref="D16:G16" si="0">SUM(D7:D15)</f>
        <v>6</v>
      </c>
      <c r="E16" s="1">
        <f t="shared" si="0"/>
        <v>8</v>
      </c>
      <c r="F16" s="1">
        <f t="shared" si="0"/>
        <v>8</v>
      </c>
      <c r="G16" s="1">
        <f t="shared" si="0"/>
        <v>7</v>
      </c>
      <c r="H16" s="1">
        <f t="shared" ref="H16:T16" si="1">SUM(H7:H15)</f>
        <v>7.4</v>
      </c>
      <c r="I16" s="1">
        <f t="shared" si="1"/>
        <v>4</v>
      </c>
      <c r="J16" s="1">
        <f t="shared" si="1"/>
        <v>3</v>
      </c>
      <c r="K16" s="1">
        <f t="shared" si="1"/>
        <v>1</v>
      </c>
      <c r="L16" s="1">
        <f t="shared" si="1"/>
        <v>6</v>
      </c>
      <c r="M16" s="1">
        <f t="shared" si="1"/>
        <v>5</v>
      </c>
      <c r="N16" s="1">
        <f t="shared" si="1"/>
        <v>3.8000000000000003</v>
      </c>
      <c r="O16" s="1">
        <f t="shared" si="1"/>
        <v>24</v>
      </c>
      <c r="P16" s="1">
        <f t="shared" si="1"/>
        <v>19</v>
      </c>
      <c r="Q16" s="1">
        <f t="shared" si="1"/>
        <v>20</v>
      </c>
      <c r="R16" s="1">
        <f t="shared" si="1"/>
        <v>20</v>
      </c>
      <c r="S16" s="1">
        <f t="shared" si="1"/>
        <v>23</v>
      </c>
      <c r="T16" s="1">
        <f t="shared" si="1"/>
        <v>21.2</v>
      </c>
      <c r="U16" s="12"/>
      <c r="V16" s="12"/>
      <c r="W16" s="12"/>
      <c r="X16" s="118">
        <f>SUM(X7:X15)</f>
        <v>32.4</v>
      </c>
      <c r="Z16" s="45" t="s">
        <v>64</v>
      </c>
      <c r="AA16" s="32" t="s">
        <v>65</v>
      </c>
      <c r="AB16" s="33" t="s">
        <v>66</v>
      </c>
      <c r="AC16" s="34" t="s">
        <v>67</v>
      </c>
      <c r="AD16" s="33" t="s">
        <v>68</v>
      </c>
      <c r="AE16" s="46" t="s">
        <v>69</v>
      </c>
      <c r="AG16" s="45" t="s">
        <v>64</v>
      </c>
      <c r="AH16" s="32" t="s">
        <v>65</v>
      </c>
      <c r="AI16" s="33" t="s">
        <v>66</v>
      </c>
      <c r="AJ16" s="34" t="s">
        <v>67</v>
      </c>
      <c r="AK16" s="33" t="s">
        <v>68</v>
      </c>
      <c r="AL16" s="46" t="s">
        <v>69</v>
      </c>
    </row>
    <row r="17" spans="1:38" ht="12.9" customHeight="1" x14ac:dyDescent="0.25">
      <c r="A17" s="69" t="s">
        <v>25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Z17" s="47" t="s">
        <v>70</v>
      </c>
      <c r="AA17" s="35">
        <f>3-1</f>
        <v>2</v>
      </c>
      <c r="AB17" s="36">
        <f>AA9</f>
        <v>18.746666666666663</v>
      </c>
      <c r="AC17" s="37">
        <f>AB17/AA17</f>
        <v>9.3733333333333313</v>
      </c>
      <c r="AD17" s="36">
        <f>AC17/AC19</f>
        <v>28.548223350253739</v>
      </c>
      <c r="AE17" s="48">
        <v>3.63</v>
      </c>
      <c r="AG17" s="47" t="s">
        <v>70</v>
      </c>
      <c r="AH17" s="35">
        <f>3-1</f>
        <v>2</v>
      </c>
      <c r="AI17" s="36">
        <f>AH9</f>
        <v>3.914074074074037</v>
      </c>
      <c r="AJ17" s="37">
        <f>AI17/AH17</f>
        <v>1.9570370370370185</v>
      </c>
      <c r="AK17" s="36">
        <f>AJ17/AJ19</f>
        <v>7.150202976995784</v>
      </c>
      <c r="AL17" s="48">
        <v>3.63</v>
      </c>
    </row>
    <row r="18" spans="1:38" ht="12" customHeight="1" x14ac:dyDescent="0.25">
      <c r="A18" s="77" t="s">
        <v>0</v>
      </c>
      <c r="B18" s="80" t="s">
        <v>40</v>
      </c>
      <c r="C18" s="83" t="s">
        <v>8</v>
      </c>
      <c r="D18" s="84"/>
      <c r="E18" s="84"/>
      <c r="F18" s="84"/>
      <c r="G18" s="84"/>
      <c r="H18" s="85"/>
      <c r="I18" s="86" t="s">
        <v>8</v>
      </c>
      <c r="J18" s="84"/>
      <c r="K18" s="84"/>
      <c r="L18" s="84"/>
      <c r="M18" s="84"/>
      <c r="N18" s="87"/>
      <c r="O18" s="83" t="s">
        <v>8</v>
      </c>
      <c r="P18" s="84"/>
      <c r="Q18" s="84"/>
      <c r="R18" s="84"/>
      <c r="S18" s="84"/>
      <c r="T18" s="85"/>
      <c r="U18" s="71" t="s">
        <v>35</v>
      </c>
      <c r="V18" s="72"/>
      <c r="W18" s="73"/>
      <c r="Z18" s="47" t="s">
        <v>71</v>
      </c>
      <c r="AA18" s="35">
        <f>9-1</f>
        <v>8</v>
      </c>
      <c r="AB18" s="36">
        <f>AA10</f>
        <v>5.2800000000000011</v>
      </c>
      <c r="AC18" s="37">
        <f>AB18/AA18</f>
        <v>0.66000000000000014</v>
      </c>
      <c r="AD18" s="36">
        <f>AC18/AC19</f>
        <v>2.0101522842639556</v>
      </c>
      <c r="AE18" s="48">
        <v>2.59</v>
      </c>
      <c r="AG18" s="47" t="s">
        <v>71</v>
      </c>
      <c r="AH18" s="35">
        <f>9-1</f>
        <v>8</v>
      </c>
      <c r="AI18" s="36">
        <f>AH10</f>
        <v>8.740740740740705</v>
      </c>
      <c r="AJ18" s="37">
        <f>AI18/AH18</f>
        <v>1.0925925925925881</v>
      </c>
      <c r="AK18" s="36">
        <f>AJ18/AJ19</f>
        <v>3.9918809201623153</v>
      </c>
      <c r="AL18" s="48">
        <v>2.59</v>
      </c>
    </row>
    <row r="19" spans="1:38" ht="12.9" customHeight="1" x14ac:dyDescent="0.25">
      <c r="A19" s="78"/>
      <c r="B19" s="81"/>
      <c r="C19" s="88" t="s">
        <v>27</v>
      </c>
      <c r="D19" s="89"/>
      <c r="E19" s="89"/>
      <c r="F19" s="89"/>
      <c r="G19" s="89"/>
      <c r="H19" s="90"/>
      <c r="I19" s="91" t="s">
        <v>28</v>
      </c>
      <c r="J19" s="89"/>
      <c r="K19" s="89"/>
      <c r="L19" s="89"/>
      <c r="M19" s="89"/>
      <c r="N19" s="92"/>
      <c r="O19" s="88" t="s">
        <v>29</v>
      </c>
      <c r="P19" s="89"/>
      <c r="Q19" s="89"/>
      <c r="R19" s="89"/>
      <c r="S19" s="89"/>
      <c r="T19" s="90"/>
      <c r="U19" s="74"/>
      <c r="V19" s="75"/>
      <c r="W19" s="76"/>
      <c r="Z19" s="47" t="s">
        <v>72</v>
      </c>
      <c r="AA19" s="35">
        <f>(9-1)*(3-1)</f>
        <v>16</v>
      </c>
      <c r="AB19" s="36">
        <f>AA11</f>
        <v>5.2533333333333445</v>
      </c>
      <c r="AC19" s="44">
        <f>AB19/AA19</f>
        <v>0.32833333333333403</v>
      </c>
      <c r="AD19" s="43"/>
      <c r="AE19" s="49"/>
      <c r="AG19" s="47" t="s">
        <v>72</v>
      </c>
      <c r="AH19" s="35">
        <f>(9-1)*(3-1)</f>
        <v>16</v>
      </c>
      <c r="AI19" s="36">
        <f>AH11</f>
        <v>4.3792592592593138</v>
      </c>
      <c r="AJ19" s="44">
        <f>AI19/AH19</f>
        <v>0.27370370370370711</v>
      </c>
      <c r="AK19" s="43"/>
      <c r="AL19" s="49"/>
    </row>
    <row r="20" spans="1:38" ht="12.9" customHeight="1" x14ac:dyDescent="0.25">
      <c r="A20" s="79"/>
      <c r="B20" s="82"/>
      <c r="C20" s="19">
        <v>1</v>
      </c>
      <c r="D20" s="19">
        <v>2</v>
      </c>
      <c r="E20" s="19">
        <v>3</v>
      </c>
      <c r="F20" s="19">
        <v>4</v>
      </c>
      <c r="G20" s="19">
        <v>5</v>
      </c>
      <c r="H20" s="26" t="s">
        <v>4</v>
      </c>
      <c r="I20" s="21">
        <v>1</v>
      </c>
      <c r="J20" s="19">
        <v>2</v>
      </c>
      <c r="K20" s="19">
        <v>3</v>
      </c>
      <c r="L20" s="19">
        <v>4</v>
      </c>
      <c r="M20" s="19">
        <v>5</v>
      </c>
      <c r="N20" s="22" t="s">
        <v>4</v>
      </c>
      <c r="O20" s="19">
        <v>1</v>
      </c>
      <c r="P20" s="19">
        <v>2</v>
      </c>
      <c r="Q20" s="19">
        <v>3</v>
      </c>
      <c r="R20" s="19">
        <v>4</v>
      </c>
      <c r="S20" s="19">
        <v>5</v>
      </c>
      <c r="T20" s="26" t="s">
        <v>4</v>
      </c>
      <c r="U20" s="24" t="s">
        <v>1</v>
      </c>
      <c r="V20" s="25" t="s">
        <v>2</v>
      </c>
      <c r="W20" s="25" t="s">
        <v>3</v>
      </c>
      <c r="X20" s="31" t="s">
        <v>56</v>
      </c>
      <c r="Z20" s="50" t="s">
        <v>56</v>
      </c>
      <c r="AA20" s="32">
        <f>9*3-1</f>
        <v>26</v>
      </c>
      <c r="AB20" s="33">
        <f>AA8</f>
        <v>29.280000000000008</v>
      </c>
      <c r="AC20" s="44"/>
      <c r="AD20" s="43"/>
      <c r="AE20" s="49"/>
      <c r="AG20" s="50" t="s">
        <v>56</v>
      </c>
      <c r="AH20" s="32">
        <f>9*3-1</f>
        <v>26</v>
      </c>
      <c r="AI20" s="33">
        <f>AH8</f>
        <v>17.034074074074056</v>
      </c>
      <c r="AJ20" s="44"/>
      <c r="AK20" s="43"/>
      <c r="AL20" s="49"/>
    </row>
    <row r="21" spans="1:38" ht="12.9" customHeight="1" x14ac:dyDescent="0.3">
      <c r="A21" s="8">
        <v>1</v>
      </c>
      <c r="B21" s="13" t="s">
        <v>12</v>
      </c>
      <c r="C21" s="27">
        <v>4</v>
      </c>
      <c r="D21" s="27">
        <v>1</v>
      </c>
      <c r="E21" s="27">
        <v>0</v>
      </c>
      <c r="F21" s="27">
        <v>2</v>
      </c>
      <c r="G21" s="27">
        <v>2</v>
      </c>
      <c r="H21" s="15">
        <f>AVERAGE(C21:G21)</f>
        <v>1.8</v>
      </c>
      <c r="I21" s="28">
        <v>3</v>
      </c>
      <c r="J21" s="27">
        <v>2</v>
      </c>
      <c r="K21" s="27">
        <v>3</v>
      </c>
      <c r="L21" s="27">
        <v>2</v>
      </c>
      <c r="M21" s="27">
        <v>2</v>
      </c>
      <c r="N21" s="15">
        <f>AVERAGE(I21:M21)</f>
        <v>2.4</v>
      </c>
      <c r="O21" s="27">
        <v>2</v>
      </c>
      <c r="P21" s="27">
        <v>1</v>
      </c>
      <c r="Q21" s="27">
        <v>2</v>
      </c>
      <c r="R21" s="27">
        <v>4</v>
      </c>
      <c r="S21" s="27">
        <v>3</v>
      </c>
      <c r="T21" s="15">
        <f>AVERAGE(O21:S21)</f>
        <v>2.4</v>
      </c>
      <c r="U21" s="11" t="s">
        <v>54</v>
      </c>
      <c r="V21" s="11" t="s">
        <v>54</v>
      </c>
      <c r="W21" s="11" t="s">
        <v>54</v>
      </c>
      <c r="X21" s="117">
        <f>SUM(H21,N21,T21)</f>
        <v>6.6</v>
      </c>
      <c r="Z21" s="38"/>
      <c r="AE21" s="39"/>
      <c r="AG21" s="38"/>
      <c r="AL21" s="39"/>
    </row>
    <row r="22" spans="1:38" ht="12.9" customHeight="1" x14ac:dyDescent="0.3">
      <c r="A22" s="8">
        <v>2</v>
      </c>
      <c r="B22" s="13" t="s">
        <v>13</v>
      </c>
      <c r="C22" s="27">
        <v>0</v>
      </c>
      <c r="D22" s="27">
        <v>0</v>
      </c>
      <c r="E22" s="27">
        <v>1</v>
      </c>
      <c r="F22" s="27">
        <v>0</v>
      </c>
      <c r="G22" s="27">
        <v>1</v>
      </c>
      <c r="H22" s="15">
        <f t="shared" ref="H22:H30" si="2">AVERAGE(C22:G22)</f>
        <v>0.4</v>
      </c>
      <c r="I22" s="28">
        <v>2</v>
      </c>
      <c r="J22" s="27">
        <v>2</v>
      </c>
      <c r="K22" s="27">
        <v>5</v>
      </c>
      <c r="L22" s="27">
        <v>4</v>
      </c>
      <c r="M22" s="27">
        <v>3</v>
      </c>
      <c r="N22" s="15">
        <f t="shared" ref="N22:N29" si="3">AVERAGE(I22:M22)</f>
        <v>3.2</v>
      </c>
      <c r="O22" s="27">
        <v>1</v>
      </c>
      <c r="P22" s="27">
        <v>2</v>
      </c>
      <c r="Q22" s="27">
        <v>2</v>
      </c>
      <c r="R22" s="27">
        <v>2</v>
      </c>
      <c r="S22" s="27">
        <v>1</v>
      </c>
      <c r="T22" s="15">
        <f t="shared" ref="T22:T29" si="4">AVERAGE(O22:S22)</f>
        <v>1.6</v>
      </c>
      <c r="U22" s="11" t="s">
        <v>54</v>
      </c>
      <c r="V22" s="11" t="s">
        <v>54</v>
      </c>
      <c r="W22" s="11" t="s">
        <v>54</v>
      </c>
      <c r="X22" s="117">
        <f>SUM(H22,N22,T22)</f>
        <v>5.2</v>
      </c>
      <c r="Z22" s="51"/>
      <c r="AA22" s="52" t="s">
        <v>73</v>
      </c>
      <c r="AB22" s="42">
        <f>SQRT((2*AC19)/3)</f>
        <v>0.4678556282539405</v>
      </c>
      <c r="AC22" s="42"/>
      <c r="AD22" s="53"/>
      <c r="AE22" s="39"/>
      <c r="AG22" s="51"/>
      <c r="AH22" s="52" t="s">
        <v>73</v>
      </c>
      <c r="AI22" s="42">
        <f>SQRT((2*AJ19)/3)</f>
        <v>0.42716406192758233</v>
      </c>
      <c r="AJ22" s="42"/>
      <c r="AK22" s="53"/>
      <c r="AL22" s="39"/>
    </row>
    <row r="23" spans="1:38" ht="12.9" customHeight="1" x14ac:dyDescent="0.3">
      <c r="A23" s="8">
        <v>3</v>
      </c>
      <c r="B23" s="13" t="s">
        <v>19</v>
      </c>
      <c r="C23" s="27">
        <v>1</v>
      </c>
      <c r="D23" s="27">
        <v>1</v>
      </c>
      <c r="E23" s="27">
        <v>0</v>
      </c>
      <c r="F23" s="27">
        <v>2</v>
      </c>
      <c r="G23" s="27">
        <v>0</v>
      </c>
      <c r="H23" s="15">
        <f t="shared" si="2"/>
        <v>0.8</v>
      </c>
      <c r="I23" s="28">
        <v>0</v>
      </c>
      <c r="J23" s="27">
        <v>0</v>
      </c>
      <c r="K23" s="27">
        <v>3</v>
      </c>
      <c r="L23" s="27">
        <v>1</v>
      </c>
      <c r="M23" s="27">
        <v>1</v>
      </c>
      <c r="N23" s="15">
        <f t="shared" si="3"/>
        <v>1</v>
      </c>
      <c r="O23" s="27">
        <v>2</v>
      </c>
      <c r="P23" s="27">
        <v>0</v>
      </c>
      <c r="Q23" s="27">
        <v>2</v>
      </c>
      <c r="R23" s="27">
        <v>1</v>
      </c>
      <c r="S23" s="27">
        <v>0</v>
      </c>
      <c r="T23" s="15">
        <f t="shared" si="4"/>
        <v>1</v>
      </c>
      <c r="U23" s="11" t="s">
        <v>54</v>
      </c>
      <c r="V23" s="11" t="s">
        <v>54</v>
      </c>
      <c r="W23" s="11" t="s">
        <v>54</v>
      </c>
      <c r="X23" s="117">
        <f t="shared" ref="X22:X29" si="5">SUM(H23,N23,T23)</f>
        <v>2.8</v>
      </c>
      <c r="Z23" s="51"/>
      <c r="AA23" s="42" t="s">
        <v>74</v>
      </c>
      <c r="AB23" s="42"/>
      <c r="AC23" s="42"/>
      <c r="AD23" s="53"/>
      <c r="AE23" s="39"/>
      <c r="AG23" s="51"/>
      <c r="AH23" s="42" t="s">
        <v>74</v>
      </c>
      <c r="AI23" s="42"/>
      <c r="AJ23" s="42"/>
      <c r="AK23" s="53"/>
      <c r="AL23" s="39"/>
    </row>
    <row r="24" spans="1:38" ht="12.9" customHeight="1" x14ac:dyDescent="0.3">
      <c r="A24" s="8">
        <v>4</v>
      </c>
      <c r="B24" s="13" t="s">
        <v>20</v>
      </c>
      <c r="C24" s="27">
        <v>1</v>
      </c>
      <c r="D24" s="27">
        <v>0</v>
      </c>
      <c r="E24" s="27">
        <v>0</v>
      </c>
      <c r="F24" s="29">
        <v>0</v>
      </c>
      <c r="G24" s="27">
        <v>1</v>
      </c>
      <c r="H24" s="15">
        <f t="shared" si="2"/>
        <v>0.4</v>
      </c>
      <c r="I24" s="28">
        <v>2</v>
      </c>
      <c r="J24" s="27">
        <v>2</v>
      </c>
      <c r="K24" s="27">
        <v>2</v>
      </c>
      <c r="L24" s="27">
        <v>2</v>
      </c>
      <c r="M24" s="27">
        <v>2</v>
      </c>
      <c r="N24" s="15">
        <f t="shared" si="3"/>
        <v>2</v>
      </c>
      <c r="O24" s="27">
        <v>2</v>
      </c>
      <c r="P24" s="27">
        <v>2</v>
      </c>
      <c r="Q24" s="27">
        <v>2</v>
      </c>
      <c r="R24" s="27">
        <v>2</v>
      </c>
      <c r="S24" s="27">
        <v>2</v>
      </c>
      <c r="T24" s="15">
        <f t="shared" si="4"/>
        <v>2</v>
      </c>
      <c r="U24" s="11" t="s">
        <v>54</v>
      </c>
      <c r="V24" s="11" t="s">
        <v>54</v>
      </c>
      <c r="W24" s="11" t="s">
        <v>54</v>
      </c>
      <c r="X24" s="117">
        <f t="shared" si="5"/>
        <v>4.4000000000000004</v>
      </c>
      <c r="Z24" s="54"/>
      <c r="AA24" s="5" t="s">
        <v>75</v>
      </c>
      <c r="AB24" s="55">
        <f>2.12*AB22</f>
        <v>0.99185393189835391</v>
      </c>
      <c r="AC24" s="56" t="s">
        <v>76</v>
      </c>
      <c r="AD24" s="57"/>
      <c r="AE24" s="39"/>
      <c r="AG24" s="54"/>
      <c r="AH24" s="5" t="s">
        <v>75</v>
      </c>
      <c r="AI24" s="55">
        <f>2.12*AI22</f>
        <v>0.90558781128647459</v>
      </c>
      <c r="AJ24" s="56" t="s">
        <v>76</v>
      </c>
      <c r="AK24" s="57"/>
      <c r="AL24" s="39"/>
    </row>
    <row r="25" spans="1:38" ht="12.9" customHeight="1" x14ac:dyDescent="0.3">
      <c r="A25" s="8">
        <v>5</v>
      </c>
      <c r="B25" s="13" t="s">
        <v>16</v>
      </c>
      <c r="C25" s="27">
        <v>3</v>
      </c>
      <c r="D25" s="27">
        <v>1</v>
      </c>
      <c r="E25" s="27">
        <v>3</v>
      </c>
      <c r="F25" s="27">
        <v>2</v>
      </c>
      <c r="G25" s="27">
        <v>3</v>
      </c>
      <c r="H25" s="15">
        <f t="shared" si="2"/>
        <v>2.4</v>
      </c>
      <c r="I25" s="28">
        <v>1</v>
      </c>
      <c r="J25" s="27">
        <v>3</v>
      </c>
      <c r="K25" s="27">
        <v>3</v>
      </c>
      <c r="L25" s="27">
        <v>2</v>
      </c>
      <c r="M25" s="27">
        <v>2</v>
      </c>
      <c r="N25" s="15">
        <f t="shared" si="3"/>
        <v>2.2000000000000002</v>
      </c>
      <c r="O25" s="27">
        <v>4</v>
      </c>
      <c r="P25" s="27">
        <v>1</v>
      </c>
      <c r="Q25" s="27">
        <v>2</v>
      </c>
      <c r="R25" s="27">
        <v>2</v>
      </c>
      <c r="S25" s="27">
        <v>3</v>
      </c>
      <c r="T25" s="15">
        <f t="shared" si="4"/>
        <v>2.4</v>
      </c>
      <c r="U25" s="11" t="s">
        <v>54</v>
      </c>
      <c r="V25" s="11" t="s">
        <v>54</v>
      </c>
      <c r="W25" s="11" t="s">
        <v>54</v>
      </c>
      <c r="X25" s="117">
        <f t="shared" si="5"/>
        <v>7</v>
      </c>
      <c r="Z25" s="54" t="s">
        <v>77</v>
      </c>
      <c r="AA25" s="42" t="s">
        <v>78</v>
      </c>
      <c r="AB25" s="42"/>
      <c r="AC25" s="42"/>
      <c r="AD25" s="57" t="s">
        <v>79</v>
      </c>
      <c r="AE25" s="49" t="s">
        <v>81</v>
      </c>
      <c r="AG25" s="54" t="s">
        <v>77</v>
      </c>
      <c r="AH25" s="42" t="s">
        <v>78</v>
      </c>
      <c r="AI25" s="42"/>
      <c r="AJ25" s="42"/>
      <c r="AK25" s="57" t="s">
        <v>79</v>
      </c>
      <c r="AL25" s="49" t="s">
        <v>81</v>
      </c>
    </row>
    <row r="26" spans="1:38" ht="12.9" customHeight="1" thickBot="1" x14ac:dyDescent="0.35">
      <c r="A26" s="8">
        <v>6</v>
      </c>
      <c r="B26" s="13" t="s">
        <v>17</v>
      </c>
      <c r="C26" s="27">
        <v>2</v>
      </c>
      <c r="D26" s="27">
        <v>0</v>
      </c>
      <c r="E26" s="27">
        <v>0</v>
      </c>
      <c r="F26" s="27">
        <v>0</v>
      </c>
      <c r="G26" s="27">
        <v>2</v>
      </c>
      <c r="H26" s="15">
        <f t="shared" si="2"/>
        <v>0.8</v>
      </c>
      <c r="I26" s="28">
        <v>2</v>
      </c>
      <c r="J26" s="27">
        <v>0</v>
      </c>
      <c r="K26" s="27">
        <v>0</v>
      </c>
      <c r="L26" s="27">
        <v>3</v>
      </c>
      <c r="M26" s="27">
        <v>3</v>
      </c>
      <c r="N26" s="15">
        <f t="shared" si="3"/>
        <v>1.6</v>
      </c>
      <c r="O26" s="27">
        <v>2</v>
      </c>
      <c r="P26" s="27">
        <v>0</v>
      </c>
      <c r="Q26" s="27">
        <v>1</v>
      </c>
      <c r="R26" s="27">
        <v>2</v>
      </c>
      <c r="S26" s="27">
        <v>2</v>
      </c>
      <c r="T26" s="15">
        <f t="shared" si="4"/>
        <v>1.4</v>
      </c>
      <c r="U26" s="11" t="s">
        <v>54</v>
      </c>
      <c r="V26" s="11" t="s">
        <v>54</v>
      </c>
      <c r="W26" s="11" t="s">
        <v>54</v>
      </c>
      <c r="X26" s="117">
        <f t="shared" si="5"/>
        <v>3.8000000000000003</v>
      </c>
      <c r="Z26" s="58"/>
      <c r="AA26" s="59"/>
      <c r="AB26" s="60" t="s">
        <v>80</v>
      </c>
      <c r="AC26" s="59"/>
      <c r="AD26" s="60"/>
      <c r="AE26" s="61"/>
      <c r="AG26" s="58"/>
      <c r="AH26" s="59"/>
      <c r="AI26" s="60" t="s">
        <v>82</v>
      </c>
      <c r="AJ26" s="59"/>
      <c r="AK26" s="60"/>
      <c r="AL26" s="61"/>
    </row>
    <row r="27" spans="1:38" ht="12.9" customHeight="1" x14ac:dyDescent="0.3">
      <c r="A27" s="8">
        <v>7</v>
      </c>
      <c r="B27" s="13" t="s">
        <v>14</v>
      </c>
      <c r="C27" s="27">
        <v>0</v>
      </c>
      <c r="D27" s="27">
        <v>0</v>
      </c>
      <c r="E27" s="27">
        <v>1</v>
      </c>
      <c r="F27" s="27">
        <v>1</v>
      </c>
      <c r="G27" s="27">
        <v>0</v>
      </c>
      <c r="H27" s="15">
        <f t="shared" si="2"/>
        <v>0.4</v>
      </c>
      <c r="I27" s="28">
        <v>2</v>
      </c>
      <c r="J27" s="27">
        <v>2</v>
      </c>
      <c r="K27" s="27">
        <v>2</v>
      </c>
      <c r="L27" s="27">
        <v>1</v>
      </c>
      <c r="M27" s="27">
        <v>2</v>
      </c>
      <c r="N27" s="15">
        <f t="shared" si="3"/>
        <v>1.8</v>
      </c>
      <c r="O27" s="27">
        <v>2</v>
      </c>
      <c r="P27" s="27">
        <v>2</v>
      </c>
      <c r="Q27" s="27">
        <v>3</v>
      </c>
      <c r="R27" s="27">
        <v>3</v>
      </c>
      <c r="S27" s="27">
        <v>1</v>
      </c>
      <c r="T27" s="15">
        <f t="shared" si="4"/>
        <v>2.2000000000000002</v>
      </c>
      <c r="U27" s="11" t="s">
        <v>54</v>
      </c>
      <c r="V27" s="11" t="s">
        <v>54</v>
      </c>
      <c r="W27" s="11" t="s">
        <v>54</v>
      </c>
      <c r="X27" s="117">
        <f t="shared" si="5"/>
        <v>4.4000000000000004</v>
      </c>
    </row>
    <row r="28" spans="1:38" ht="12.9" customHeight="1" x14ac:dyDescent="0.3">
      <c r="A28" s="8">
        <v>8</v>
      </c>
      <c r="B28" s="13" t="s">
        <v>15</v>
      </c>
      <c r="C28" s="27">
        <v>3</v>
      </c>
      <c r="D28" s="27">
        <v>2</v>
      </c>
      <c r="E28" s="27">
        <v>2</v>
      </c>
      <c r="F28" s="27">
        <v>3</v>
      </c>
      <c r="G28" s="27">
        <v>4</v>
      </c>
      <c r="H28" s="15">
        <f t="shared" si="2"/>
        <v>2.8</v>
      </c>
      <c r="I28" s="28">
        <v>2</v>
      </c>
      <c r="J28" s="27">
        <v>2</v>
      </c>
      <c r="K28" s="27">
        <v>2</v>
      </c>
      <c r="L28" s="27">
        <v>5</v>
      </c>
      <c r="M28" s="27">
        <v>4</v>
      </c>
      <c r="N28" s="15">
        <f t="shared" si="3"/>
        <v>3</v>
      </c>
      <c r="O28" s="27">
        <v>3</v>
      </c>
      <c r="P28" s="27">
        <v>2</v>
      </c>
      <c r="Q28" s="27">
        <v>5</v>
      </c>
      <c r="R28" s="27">
        <v>2</v>
      </c>
      <c r="S28" s="27">
        <v>2</v>
      </c>
      <c r="T28" s="15">
        <f t="shared" si="4"/>
        <v>2.8</v>
      </c>
      <c r="U28" s="11" t="s">
        <v>54</v>
      </c>
      <c r="V28" s="11" t="s">
        <v>54</v>
      </c>
      <c r="W28" s="11" t="s">
        <v>54</v>
      </c>
      <c r="X28" s="117">
        <f t="shared" si="5"/>
        <v>8.6</v>
      </c>
    </row>
    <row r="29" spans="1:38" ht="12.9" customHeight="1" x14ac:dyDescent="0.3">
      <c r="A29" s="8">
        <v>9</v>
      </c>
      <c r="B29" s="13" t="s">
        <v>18</v>
      </c>
      <c r="C29" s="27">
        <v>0</v>
      </c>
      <c r="D29" s="27">
        <v>3</v>
      </c>
      <c r="E29" s="27">
        <v>1</v>
      </c>
      <c r="F29" s="27">
        <v>3</v>
      </c>
      <c r="G29" s="27">
        <v>2</v>
      </c>
      <c r="H29" s="15">
        <f t="shared" si="2"/>
        <v>1.8</v>
      </c>
      <c r="I29" s="28">
        <v>3</v>
      </c>
      <c r="J29" s="27">
        <v>2</v>
      </c>
      <c r="K29" s="27">
        <v>0</v>
      </c>
      <c r="L29" s="27">
        <v>3</v>
      </c>
      <c r="M29" s="27">
        <v>4</v>
      </c>
      <c r="N29" s="15">
        <f t="shared" si="3"/>
        <v>2.4</v>
      </c>
      <c r="O29" s="27">
        <v>4</v>
      </c>
      <c r="P29" s="27">
        <v>0</v>
      </c>
      <c r="Q29" s="27">
        <v>5</v>
      </c>
      <c r="R29" s="27">
        <v>1</v>
      </c>
      <c r="S29" s="27">
        <v>0</v>
      </c>
      <c r="T29" s="15">
        <f t="shared" si="4"/>
        <v>2</v>
      </c>
      <c r="U29" s="11" t="s">
        <v>54</v>
      </c>
      <c r="V29" s="11" t="s">
        <v>54</v>
      </c>
      <c r="W29" s="11" t="s">
        <v>54</v>
      </c>
      <c r="X29" s="117">
        <f t="shared" si="5"/>
        <v>6.2</v>
      </c>
    </row>
    <row r="30" spans="1:38" ht="12.9" customHeight="1" x14ac:dyDescent="0.3">
      <c r="A30" s="68" t="s">
        <v>56</v>
      </c>
      <c r="B30" s="68"/>
      <c r="C30" s="27">
        <f>SUM(C21:C29)</f>
        <v>14</v>
      </c>
      <c r="D30" s="1">
        <f t="shared" ref="D30" si="6">SUM(D21:D29)</f>
        <v>8</v>
      </c>
      <c r="E30" s="1">
        <f t="shared" ref="E30" si="7">SUM(E21:E29)</f>
        <v>8</v>
      </c>
      <c r="F30" s="1">
        <f t="shared" ref="F30" si="8">SUM(F21:F29)</f>
        <v>13</v>
      </c>
      <c r="G30" s="1">
        <f t="shared" ref="G30" si="9">SUM(G21:G29)</f>
        <v>15</v>
      </c>
      <c r="H30" s="15">
        <f t="shared" si="2"/>
        <v>11.6</v>
      </c>
      <c r="I30" s="1">
        <f t="shared" ref="I30" si="10">SUM(I21:I29)</f>
        <v>17</v>
      </c>
      <c r="J30" s="1">
        <f t="shared" ref="J30" si="11">SUM(J21:J29)</f>
        <v>15</v>
      </c>
      <c r="K30" s="1">
        <f t="shared" ref="K30" si="12">SUM(K21:K29)</f>
        <v>20</v>
      </c>
      <c r="L30" s="1">
        <f t="shared" ref="L30" si="13">SUM(L21:L29)</f>
        <v>23</v>
      </c>
      <c r="M30" s="1">
        <f t="shared" ref="M30" si="14">SUM(M21:M29)</f>
        <v>23</v>
      </c>
      <c r="N30" s="15">
        <f>SUM(N21:N29)</f>
        <v>19.600000000000001</v>
      </c>
      <c r="O30" s="1">
        <f t="shared" ref="O30" si="15">SUM(O21:O29)</f>
        <v>22</v>
      </c>
      <c r="P30" s="1">
        <f t="shared" ref="P30" si="16">SUM(P21:P29)</f>
        <v>10</v>
      </c>
      <c r="Q30" s="1">
        <f t="shared" ref="Q30" si="17">SUM(Q21:Q29)</f>
        <v>24</v>
      </c>
      <c r="R30" s="1">
        <f t="shared" ref="R30" si="18">SUM(R21:R29)</f>
        <v>19</v>
      </c>
      <c r="S30" s="1">
        <f t="shared" ref="S30" si="19">SUM(S21:S29)</f>
        <v>14</v>
      </c>
      <c r="T30" s="15">
        <f>SUM(T21:T29)</f>
        <v>17.8</v>
      </c>
      <c r="U30" s="30"/>
      <c r="V30" s="30"/>
      <c r="W30" s="30"/>
      <c r="X30" s="118">
        <f>SUM(X21:X29)</f>
        <v>49.000000000000007</v>
      </c>
    </row>
    <row r="31" spans="1:38" ht="12.9" customHeight="1" x14ac:dyDescent="0.3">
      <c r="A31" s="69" t="s">
        <v>31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38" ht="12.9" customHeight="1" x14ac:dyDescent="0.3">
      <c r="A32" s="77" t="s">
        <v>0</v>
      </c>
      <c r="B32" s="80" t="s">
        <v>40</v>
      </c>
      <c r="C32" s="83" t="s">
        <v>8</v>
      </c>
      <c r="D32" s="84"/>
      <c r="E32" s="84"/>
      <c r="F32" s="84"/>
      <c r="G32" s="84"/>
      <c r="H32" s="85"/>
      <c r="I32" s="86" t="s">
        <v>8</v>
      </c>
      <c r="J32" s="84"/>
      <c r="K32" s="84"/>
      <c r="L32" s="84"/>
      <c r="M32" s="84"/>
      <c r="N32" s="87"/>
      <c r="O32" s="83" t="s">
        <v>8</v>
      </c>
      <c r="P32" s="84"/>
      <c r="Q32" s="84"/>
      <c r="R32" s="84"/>
      <c r="S32" s="84"/>
      <c r="T32" s="85"/>
      <c r="U32" s="71" t="s">
        <v>35</v>
      </c>
      <c r="V32" s="72"/>
      <c r="W32" s="73"/>
    </row>
    <row r="33" spans="1:23" ht="12.9" customHeight="1" x14ac:dyDescent="0.3">
      <c r="A33" s="78"/>
      <c r="B33" s="81"/>
      <c r="C33" s="88" t="s">
        <v>27</v>
      </c>
      <c r="D33" s="89"/>
      <c r="E33" s="89"/>
      <c r="F33" s="89"/>
      <c r="G33" s="89"/>
      <c r="H33" s="90"/>
      <c r="I33" s="91" t="s">
        <v>28</v>
      </c>
      <c r="J33" s="89"/>
      <c r="K33" s="89"/>
      <c r="L33" s="89"/>
      <c r="M33" s="89"/>
      <c r="N33" s="92"/>
      <c r="O33" s="88" t="s">
        <v>29</v>
      </c>
      <c r="P33" s="89"/>
      <c r="Q33" s="89"/>
      <c r="R33" s="89"/>
      <c r="S33" s="89"/>
      <c r="T33" s="90"/>
      <c r="U33" s="74"/>
      <c r="V33" s="75"/>
      <c r="W33" s="76"/>
    </row>
    <row r="34" spans="1:23" ht="12.9" customHeight="1" x14ac:dyDescent="0.3">
      <c r="A34" s="79"/>
      <c r="B34" s="82"/>
      <c r="C34" s="1">
        <v>1</v>
      </c>
      <c r="D34" s="1">
        <v>2</v>
      </c>
      <c r="E34" s="1">
        <v>3</v>
      </c>
      <c r="F34" s="1">
        <v>4</v>
      </c>
      <c r="G34" s="1">
        <v>5</v>
      </c>
      <c r="H34" s="14" t="s">
        <v>4</v>
      </c>
      <c r="I34" s="3">
        <v>1</v>
      </c>
      <c r="J34" s="1">
        <v>2</v>
      </c>
      <c r="K34" s="1">
        <v>3</v>
      </c>
      <c r="L34" s="1">
        <v>4</v>
      </c>
      <c r="M34" s="1">
        <v>5</v>
      </c>
      <c r="N34" s="6" t="s">
        <v>4</v>
      </c>
      <c r="O34" s="1">
        <v>1</v>
      </c>
      <c r="P34" s="1">
        <v>2</v>
      </c>
      <c r="Q34" s="1">
        <v>3</v>
      </c>
      <c r="R34" s="1">
        <v>4</v>
      </c>
      <c r="S34" s="1">
        <v>5</v>
      </c>
      <c r="T34" s="14" t="s">
        <v>4</v>
      </c>
      <c r="U34" s="7" t="s">
        <v>1</v>
      </c>
      <c r="V34" s="8" t="s">
        <v>2</v>
      </c>
      <c r="W34" s="8" t="s">
        <v>3</v>
      </c>
    </row>
    <row r="35" spans="1:23" ht="12.9" customHeight="1" x14ac:dyDescent="0.3">
      <c r="A35" s="8">
        <v>1</v>
      </c>
      <c r="B35" s="13" t="s">
        <v>12</v>
      </c>
      <c r="C35" s="1"/>
      <c r="D35" s="1"/>
      <c r="E35" s="1"/>
      <c r="F35" s="1"/>
      <c r="G35" s="1"/>
      <c r="H35" s="15"/>
      <c r="I35" s="3"/>
      <c r="J35" s="1"/>
      <c r="K35" s="1"/>
      <c r="L35" s="1"/>
      <c r="M35" s="1"/>
      <c r="N35" s="10"/>
      <c r="O35" s="1"/>
      <c r="P35" s="1"/>
      <c r="Q35" s="1"/>
      <c r="R35" s="1"/>
      <c r="S35" s="1"/>
      <c r="T35" s="15"/>
      <c r="U35" s="11"/>
      <c r="V35" s="12"/>
      <c r="W35" s="12"/>
    </row>
    <row r="36" spans="1:23" ht="12.9" customHeight="1" x14ac:dyDescent="0.3">
      <c r="A36" s="8">
        <v>2</v>
      </c>
      <c r="B36" s="13" t="s">
        <v>13</v>
      </c>
      <c r="C36" s="1"/>
      <c r="D36" s="1"/>
      <c r="E36" s="1"/>
      <c r="F36" s="1"/>
      <c r="G36" s="1"/>
      <c r="H36" s="15"/>
      <c r="I36" s="3"/>
      <c r="J36" s="1"/>
      <c r="K36" s="1"/>
      <c r="L36" s="1"/>
      <c r="M36" s="1"/>
      <c r="N36" s="10"/>
      <c r="O36" s="1"/>
      <c r="P36" s="1"/>
      <c r="Q36" s="1"/>
      <c r="R36" s="1"/>
      <c r="S36" s="1"/>
      <c r="T36" s="15"/>
      <c r="U36" s="11"/>
      <c r="V36" s="12"/>
      <c r="W36" s="12"/>
    </row>
    <row r="37" spans="1:23" ht="12.9" customHeight="1" x14ac:dyDescent="0.3">
      <c r="A37" s="8">
        <v>3</v>
      </c>
      <c r="B37" s="13" t="s">
        <v>19</v>
      </c>
      <c r="C37" s="1"/>
      <c r="D37" s="1"/>
      <c r="E37" s="1"/>
      <c r="F37" s="1"/>
      <c r="G37" s="1"/>
      <c r="H37" s="15"/>
      <c r="I37" s="3"/>
      <c r="J37" s="1"/>
      <c r="K37" s="1"/>
      <c r="L37" s="1"/>
      <c r="M37" s="1"/>
      <c r="N37" s="10"/>
      <c r="O37" s="1"/>
      <c r="P37" s="1"/>
      <c r="Q37" s="1"/>
      <c r="R37" s="1"/>
      <c r="S37" s="1"/>
      <c r="T37" s="15"/>
      <c r="U37" s="11"/>
      <c r="V37" s="12"/>
      <c r="W37" s="12"/>
    </row>
    <row r="38" spans="1:23" ht="12.9" customHeight="1" x14ac:dyDescent="0.3">
      <c r="A38" s="8">
        <v>4</v>
      </c>
      <c r="B38" s="13" t="s">
        <v>20</v>
      </c>
      <c r="C38" s="1"/>
      <c r="D38" s="1"/>
      <c r="E38" s="1"/>
      <c r="F38" s="1"/>
      <c r="G38" s="1"/>
      <c r="H38" s="15"/>
      <c r="I38" s="3"/>
      <c r="J38" s="1"/>
      <c r="K38" s="1"/>
      <c r="L38" s="1"/>
      <c r="M38" s="1"/>
      <c r="N38" s="10"/>
      <c r="O38" s="1"/>
      <c r="P38" s="1"/>
      <c r="Q38" s="1"/>
      <c r="R38" s="1"/>
      <c r="S38" s="1"/>
      <c r="T38" s="15"/>
      <c r="U38" s="11"/>
      <c r="V38" s="12"/>
      <c r="W38" s="12"/>
    </row>
    <row r="39" spans="1:23" ht="12.9" customHeight="1" x14ac:dyDescent="0.3">
      <c r="A39" s="8">
        <v>5</v>
      </c>
      <c r="B39" s="13" t="s">
        <v>16</v>
      </c>
      <c r="C39" s="1"/>
      <c r="D39" s="1"/>
      <c r="E39" s="1"/>
      <c r="F39" s="1"/>
      <c r="G39" s="1"/>
      <c r="H39" s="15"/>
      <c r="I39" s="3"/>
      <c r="J39" s="1"/>
      <c r="K39" s="1"/>
      <c r="L39" s="1"/>
      <c r="M39" s="1"/>
      <c r="N39" s="10"/>
      <c r="O39" s="1"/>
      <c r="P39" s="1"/>
      <c r="Q39" s="1"/>
      <c r="R39" s="1"/>
      <c r="S39" s="1"/>
      <c r="T39" s="15"/>
      <c r="U39" s="11"/>
      <c r="V39" s="12"/>
      <c r="W39" s="12"/>
    </row>
    <row r="40" spans="1:23" ht="12.9" customHeight="1" x14ac:dyDescent="0.3">
      <c r="A40" s="8">
        <v>6</v>
      </c>
      <c r="B40" s="13" t="s">
        <v>17</v>
      </c>
      <c r="C40" s="1"/>
      <c r="D40" s="1"/>
      <c r="E40" s="1"/>
      <c r="F40" s="1"/>
      <c r="G40" s="1"/>
      <c r="H40" s="15"/>
      <c r="I40" s="3"/>
      <c r="J40" s="1"/>
      <c r="K40" s="1"/>
      <c r="L40" s="1"/>
      <c r="M40" s="1"/>
      <c r="N40" s="10"/>
      <c r="O40" s="1"/>
      <c r="P40" s="1"/>
      <c r="Q40" s="1"/>
      <c r="R40" s="1"/>
      <c r="S40" s="1"/>
      <c r="T40" s="15"/>
      <c r="U40" s="11"/>
      <c r="V40" s="12"/>
      <c r="W40" s="12"/>
    </row>
    <row r="41" spans="1:23" ht="12.9" customHeight="1" x14ac:dyDescent="0.3">
      <c r="A41" s="8">
        <v>7</v>
      </c>
      <c r="B41" s="13" t="s">
        <v>14</v>
      </c>
      <c r="C41" s="1"/>
      <c r="D41" s="1"/>
      <c r="E41" s="1"/>
      <c r="F41" s="1"/>
      <c r="G41" s="1"/>
      <c r="H41" s="15"/>
      <c r="I41" s="3"/>
      <c r="J41" s="1"/>
      <c r="K41" s="1"/>
      <c r="L41" s="1"/>
      <c r="M41" s="1"/>
      <c r="N41" s="10"/>
      <c r="O41" s="1"/>
      <c r="P41" s="1"/>
      <c r="Q41" s="1"/>
      <c r="R41" s="1"/>
      <c r="S41" s="1"/>
      <c r="T41" s="15"/>
      <c r="U41" s="11"/>
      <c r="V41" s="12"/>
      <c r="W41" s="12"/>
    </row>
    <row r="42" spans="1:23" ht="12.9" customHeight="1" x14ac:dyDescent="0.3">
      <c r="A42" s="8">
        <v>8</v>
      </c>
      <c r="B42" s="13" t="s">
        <v>15</v>
      </c>
      <c r="C42" s="1"/>
      <c r="D42" s="1"/>
      <c r="E42" s="1"/>
      <c r="F42" s="1"/>
      <c r="G42" s="1"/>
      <c r="H42" s="15"/>
      <c r="I42" s="3"/>
      <c r="J42" s="1"/>
      <c r="K42" s="1"/>
      <c r="L42" s="1"/>
      <c r="M42" s="1"/>
      <c r="N42" s="10"/>
      <c r="O42" s="1"/>
      <c r="P42" s="1"/>
      <c r="Q42" s="1"/>
      <c r="R42" s="1"/>
      <c r="S42" s="1"/>
      <c r="T42" s="15"/>
      <c r="U42" s="11"/>
      <c r="V42" s="12"/>
      <c r="W42" s="12"/>
    </row>
    <row r="43" spans="1:23" x14ac:dyDescent="0.3">
      <c r="A43" s="8">
        <v>9</v>
      </c>
      <c r="B43" s="13" t="s">
        <v>18</v>
      </c>
      <c r="C43" s="1"/>
      <c r="D43" s="1"/>
      <c r="E43" s="1"/>
      <c r="F43" s="1"/>
      <c r="G43" s="1"/>
      <c r="H43" s="15"/>
      <c r="I43" s="3"/>
      <c r="J43" s="1"/>
      <c r="K43" s="1"/>
      <c r="L43" s="1"/>
      <c r="M43" s="1"/>
      <c r="N43" s="10"/>
      <c r="O43" s="1"/>
      <c r="P43" s="1"/>
      <c r="Q43" s="1"/>
      <c r="R43" s="1"/>
      <c r="S43" s="1"/>
      <c r="T43" s="15"/>
      <c r="U43" s="11"/>
      <c r="V43" s="12"/>
      <c r="W43" s="12"/>
    </row>
    <row r="44" spans="1:23" x14ac:dyDescent="0.3">
      <c r="U44" s="17"/>
      <c r="V44" s="17"/>
      <c r="W44" s="17"/>
    </row>
    <row r="45" spans="1:23" x14ac:dyDescent="0.3">
      <c r="U45" s="17"/>
      <c r="V45" s="17"/>
      <c r="W45" s="17"/>
    </row>
    <row r="46" spans="1:23" x14ac:dyDescent="0.3">
      <c r="U46" s="17"/>
      <c r="V46" s="17"/>
      <c r="W46" s="17"/>
    </row>
    <row r="47" spans="1:23" x14ac:dyDescent="0.3">
      <c r="U47" s="17"/>
      <c r="V47" s="17"/>
      <c r="W47" s="17"/>
    </row>
    <row r="48" spans="1:23" x14ac:dyDescent="0.3">
      <c r="U48" s="17"/>
      <c r="V48" s="17"/>
      <c r="W48" s="17"/>
    </row>
    <row r="49" spans="3:23" x14ac:dyDescent="0.3">
      <c r="U49" s="17"/>
      <c r="V49" s="17"/>
      <c r="W49" s="17"/>
    </row>
    <row r="50" spans="3:23" x14ac:dyDescent="0.3">
      <c r="U50" s="17"/>
      <c r="V50" s="17"/>
      <c r="W50" s="17"/>
    </row>
    <row r="51" spans="3:23" x14ac:dyDescent="0.3">
      <c r="U51" s="17"/>
      <c r="V51" s="17"/>
      <c r="W51" s="17"/>
    </row>
    <row r="52" spans="3:23" x14ac:dyDescent="0.3">
      <c r="U52" s="17"/>
      <c r="V52" s="17"/>
      <c r="W52" s="17"/>
    </row>
    <row r="53" spans="3:23" x14ac:dyDescent="0.3">
      <c r="U53" s="17"/>
      <c r="V53" s="17"/>
      <c r="W53" s="17"/>
    </row>
    <row r="54" spans="3:23" x14ac:dyDescent="0.3">
      <c r="U54" s="17"/>
      <c r="V54" s="17"/>
      <c r="W54" s="17"/>
    </row>
    <row r="55" spans="3:23" x14ac:dyDescent="0.3">
      <c r="U55" s="17"/>
      <c r="V55" s="17"/>
      <c r="W55" s="17"/>
    </row>
    <row r="56" spans="3:23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U56" s="17"/>
      <c r="V56" s="17"/>
      <c r="W56" s="17"/>
    </row>
    <row r="57" spans="3:23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U57" s="17"/>
      <c r="V57" s="17"/>
      <c r="W57" s="17"/>
    </row>
    <row r="58" spans="3:23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U58" s="17"/>
      <c r="V58" s="17"/>
      <c r="W58" s="17"/>
    </row>
    <row r="59" spans="3:23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U59" s="17"/>
      <c r="V59" s="17"/>
      <c r="W59" s="17"/>
    </row>
    <row r="60" spans="3:23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U60" s="17"/>
      <c r="V60" s="17"/>
      <c r="W60" s="17"/>
    </row>
    <row r="61" spans="3:23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U61" s="17"/>
      <c r="V61" s="17"/>
      <c r="W61" s="17"/>
    </row>
    <row r="62" spans="3:23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</sheetData>
  <mergeCells count="38">
    <mergeCell ref="AD15:AE15"/>
    <mergeCell ref="Z3:AE3"/>
    <mergeCell ref="AG3:AL3"/>
    <mergeCell ref="AK15:AL15"/>
    <mergeCell ref="A1:W1"/>
    <mergeCell ref="A3:W3"/>
    <mergeCell ref="A4:A6"/>
    <mergeCell ref="B4:B6"/>
    <mergeCell ref="C4:H4"/>
    <mergeCell ref="I4:N4"/>
    <mergeCell ref="O4:T4"/>
    <mergeCell ref="C5:H5"/>
    <mergeCell ref="I5:N5"/>
    <mergeCell ref="O5:T5"/>
    <mergeCell ref="A2:W2"/>
    <mergeCell ref="U32:W33"/>
    <mergeCell ref="A32:A34"/>
    <mergeCell ref="B32:B34"/>
    <mergeCell ref="C32:H32"/>
    <mergeCell ref="I32:N32"/>
    <mergeCell ref="O32:T32"/>
    <mergeCell ref="C33:H33"/>
    <mergeCell ref="I33:N33"/>
    <mergeCell ref="O33:T33"/>
    <mergeCell ref="A16:B16"/>
    <mergeCell ref="A30:B30"/>
    <mergeCell ref="A17:W17"/>
    <mergeCell ref="A31:W31"/>
    <mergeCell ref="U4:W5"/>
    <mergeCell ref="U18:W19"/>
    <mergeCell ref="A18:A20"/>
    <mergeCell ref="B18:B20"/>
    <mergeCell ref="C18:H18"/>
    <mergeCell ref="I18:N18"/>
    <mergeCell ref="O18:T18"/>
    <mergeCell ref="C19:H19"/>
    <mergeCell ref="I19:N19"/>
    <mergeCell ref="O19:T19"/>
  </mergeCells>
  <printOptions horizontalCentered="1"/>
  <pageMargins left="1.2204724409448819" right="0.23622047244094491" top="0.4724409448818898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78DD-890C-4194-8269-781CF0F650BC}">
  <dimension ref="A1:AN62"/>
  <sheetViews>
    <sheetView workbookViewId="0">
      <selection activeCell="AJ11" sqref="AJ11"/>
    </sheetView>
  </sheetViews>
  <sheetFormatPr defaultRowHeight="14.4" x14ac:dyDescent="0.3"/>
  <cols>
    <col min="1" max="1" width="3.109375" style="5" customWidth="1"/>
    <col min="2" max="2" width="13.5546875" style="4" bestFit="1" customWidth="1"/>
    <col min="3" max="19" width="5.33203125" style="5" customWidth="1"/>
    <col min="20" max="20" width="5.33203125" style="4" customWidth="1"/>
    <col min="21" max="23" width="5.33203125" style="5" customWidth="1"/>
    <col min="24" max="25" width="8.88671875" style="4"/>
    <col min="26" max="26" width="36.44140625" style="4" bestFit="1" customWidth="1"/>
    <col min="27" max="34" width="8.88671875" style="4"/>
    <col min="35" max="35" width="24.21875" style="4" customWidth="1"/>
    <col min="36" max="16384" width="8.88671875" style="4"/>
  </cols>
  <sheetData>
    <row r="1" spans="1:40" ht="15" customHeight="1" x14ac:dyDescent="0.3">
      <c r="A1" s="98" t="s">
        <v>30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40" ht="15" thickBot="1" x14ac:dyDescent="0.35">
      <c r="A2" s="101" t="s">
        <v>44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1:40" ht="15" customHeight="1" x14ac:dyDescent="0.3">
      <c r="A3" s="99" t="s">
        <v>21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Z3" s="95" t="s">
        <v>83</v>
      </c>
      <c r="AA3" s="96"/>
      <c r="AB3" s="96"/>
      <c r="AC3" s="96"/>
      <c r="AD3" s="96"/>
      <c r="AE3" s="97"/>
      <c r="AI3" s="95" t="s">
        <v>86</v>
      </c>
      <c r="AJ3" s="96"/>
      <c r="AK3" s="96"/>
      <c r="AL3" s="96"/>
      <c r="AM3" s="96"/>
      <c r="AN3" s="97"/>
    </row>
    <row r="4" spans="1:40" ht="13.2" customHeight="1" x14ac:dyDescent="0.3">
      <c r="A4" s="77" t="s">
        <v>0</v>
      </c>
      <c r="B4" s="110" t="s">
        <v>40</v>
      </c>
      <c r="C4" s="83" t="s">
        <v>7</v>
      </c>
      <c r="D4" s="84"/>
      <c r="E4" s="84"/>
      <c r="F4" s="84"/>
      <c r="G4" s="84"/>
      <c r="H4" s="85"/>
      <c r="I4" s="83" t="s">
        <v>7</v>
      </c>
      <c r="J4" s="84"/>
      <c r="K4" s="84"/>
      <c r="L4" s="84"/>
      <c r="M4" s="84"/>
      <c r="N4" s="85"/>
      <c r="O4" s="83" t="s">
        <v>7</v>
      </c>
      <c r="P4" s="84"/>
      <c r="Q4" s="84"/>
      <c r="R4" s="84"/>
      <c r="S4" s="84"/>
      <c r="T4" s="85"/>
      <c r="U4" s="104" t="s">
        <v>26</v>
      </c>
      <c r="V4" s="105"/>
      <c r="W4" s="106"/>
      <c r="X4" s="102" t="s">
        <v>56</v>
      </c>
      <c r="Z4" s="38"/>
      <c r="AE4" s="39"/>
      <c r="AI4" s="38"/>
      <c r="AN4" s="39"/>
    </row>
    <row r="5" spans="1:40" ht="12.9" customHeight="1" x14ac:dyDescent="0.3">
      <c r="A5" s="78"/>
      <c r="B5" s="111"/>
      <c r="C5" s="88" t="s">
        <v>27</v>
      </c>
      <c r="D5" s="89"/>
      <c r="E5" s="89"/>
      <c r="F5" s="89"/>
      <c r="G5" s="89"/>
      <c r="H5" s="90"/>
      <c r="I5" s="88" t="s">
        <v>28</v>
      </c>
      <c r="J5" s="89"/>
      <c r="K5" s="89"/>
      <c r="L5" s="89"/>
      <c r="M5" s="89"/>
      <c r="N5" s="90"/>
      <c r="O5" s="88" t="s">
        <v>29</v>
      </c>
      <c r="P5" s="89"/>
      <c r="Q5" s="89"/>
      <c r="R5" s="89"/>
      <c r="S5" s="89"/>
      <c r="T5" s="90"/>
      <c r="U5" s="107"/>
      <c r="V5" s="108"/>
      <c r="W5" s="109"/>
      <c r="X5" s="102"/>
      <c r="Z5" s="38"/>
      <c r="AE5" s="39"/>
      <c r="AI5" s="38"/>
      <c r="AN5" s="39"/>
    </row>
    <row r="6" spans="1:40" ht="12.9" customHeight="1" x14ac:dyDescent="0.25">
      <c r="A6" s="79"/>
      <c r="B6" s="112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26" t="s">
        <v>4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26" t="s">
        <v>4</v>
      </c>
      <c r="O6" s="19">
        <v>1</v>
      </c>
      <c r="P6" s="19">
        <v>2</v>
      </c>
      <c r="Q6" s="19">
        <v>3</v>
      </c>
      <c r="R6" s="19">
        <v>4</v>
      </c>
      <c r="S6" s="19">
        <v>5</v>
      </c>
      <c r="T6" s="26" t="s">
        <v>4</v>
      </c>
      <c r="U6" s="25" t="s">
        <v>1</v>
      </c>
      <c r="V6" s="25" t="s">
        <v>2</v>
      </c>
      <c r="W6" s="25" t="s">
        <v>3</v>
      </c>
      <c r="X6" s="103"/>
      <c r="Z6" s="40" t="s">
        <v>57</v>
      </c>
      <c r="AA6" s="9">
        <f>X16^2/27</f>
        <v>5163.9837037037023</v>
      </c>
      <c r="AE6" s="39"/>
      <c r="AI6" s="40" t="s">
        <v>57</v>
      </c>
      <c r="AJ6" s="9">
        <f>X30^2/27</f>
        <v>1.7125925925925929</v>
      </c>
      <c r="AN6" s="39"/>
    </row>
    <row r="7" spans="1:40" ht="12.9" customHeight="1" x14ac:dyDescent="0.3">
      <c r="A7" s="8">
        <v>1</v>
      </c>
      <c r="B7" s="9" t="s">
        <v>12</v>
      </c>
      <c r="C7" s="1">
        <v>8</v>
      </c>
      <c r="D7" s="1">
        <v>12</v>
      </c>
      <c r="E7" s="1">
        <v>13</v>
      </c>
      <c r="F7" s="1">
        <v>14</v>
      </c>
      <c r="G7" s="1">
        <v>18</v>
      </c>
      <c r="H7" s="15">
        <f>AVERAGE(C7:G7)</f>
        <v>13</v>
      </c>
      <c r="I7" s="1">
        <v>14</v>
      </c>
      <c r="J7" s="1">
        <v>16</v>
      </c>
      <c r="K7" s="1">
        <v>16</v>
      </c>
      <c r="L7" s="1">
        <v>18</v>
      </c>
      <c r="M7" s="1">
        <v>20</v>
      </c>
      <c r="N7" s="15">
        <f>AVERAGE(I7:M7)</f>
        <v>16.8</v>
      </c>
      <c r="O7" s="1">
        <v>17</v>
      </c>
      <c r="P7" s="1">
        <v>15</v>
      </c>
      <c r="Q7" s="1">
        <v>17</v>
      </c>
      <c r="R7" s="1">
        <v>18</v>
      </c>
      <c r="S7" s="1">
        <v>16</v>
      </c>
      <c r="T7" s="15">
        <f t="shared" ref="T7:T15" si="0">AVERAGE(O7:S7)</f>
        <v>16.600000000000001</v>
      </c>
      <c r="U7" s="12" t="s">
        <v>53</v>
      </c>
      <c r="V7" s="12" t="s">
        <v>53</v>
      </c>
      <c r="W7" s="12" t="s">
        <v>53</v>
      </c>
      <c r="X7" s="117">
        <f>SUM(H7,N7,T7)</f>
        <v>46.400000000000006</v>
      </c>
      <c r="Z7" s="40" t="s">
        <v>60</v>
      </c>
      <c r="AA7" s="9">
        <f>SUMSQ(H7:H15,N7:N15,T7:T15)</f>
        <v>5347.4000000000015</v>
      </c>
      <c r="AE7" s="39"/>
      <c r="AI7" s="40" t="s">
        <v>60</v>
      </c>
      <c r="AJ7" s="9">
        <f>SUMSQ(H21:H29,N21:N29,T21:T29)</f>
        <v>5.9200000000000008</v>
      </c>
      <c r="AN7" s="39"/>
    </row>
    <row r="8" spans="1:40" ht="12.9" customHeight="1" x14ac:dyDescent="0.3">
      <c r="A8" s="8">
        <v>2</v>
      </c>
      <c r="B8" s="9" t="s">
        <v>13</v>
      </c>
      <c r="C8" s="1">
        <v>14</v>
      </c>
      <c r="D8" s="1">
        <v>14</v>
      </c>
      <c r="E8" s="1">
        <v>17</v>
      </c>
      <c r="F8" s="1">
        <v>18</v>
      </c>
      <c r="G8" s="1">
        <v>13</v>
      </c>
      <c r="H8" s="15">
        <f t="shared" ref="H8:H16" si="1">AVERAGE(C8:G8)</f>
        <v>15.2</v>
      </c>
      <c r="I8" s="1">
        <v>15</v>
      </c>
      <c r="J8" s="1">
        <v>19</v>
      </c>
      <c r="K8" s="1">
        <v>14</v>
      </c>
      <c r="L8" s="1">
        <v>14</v>
      </c>
      <c r="M8" s="1">
        <v>8</v>
      </c>
      <c r="N8" s="15">
        <f t="shared" ref="N7:N15" si="2">AVERAGE(I8:M8)</f>
        <v>14</v>
      </c>
      <c r="O8" s="1">
        <v>13</v>
      </c>
      <c r="P8" s="1">
        <v>22</v>
      </c>
      <c r="Q8" s="1">
        <v>17</v>
      </c>
      <c r="R8" s="1">
        <v>19</v>
      </c>
      <c r="S8" s="1">
        <v>18</v>
      </c>
      <c r="T8" s="15">
        <f t="shared" si="0"/>
        <v>17.8</v>
      </c>
      <c r="U8" s="12" t="s">
        <v>53</v>
      </c>
      <c r="V8" s="12" t="s">
        <v>53</v>
      </c>
      <c r="W8" s="12" t="s">
        <v>53</v>
      </c>
      <c r="X8" s="117">
        <f t="shared" ref="X8:X15" si="3">SUM(H8,N8,T8)</f>
        <v>47</v>
      </c>
      <c r="Z8" s="40" t="s">
        <v>61</v>
      </c>
      <c r="AA8" s="9">
        <f>AA7-AA6</f>
        <v>183.41629629629915</v>
      </c>
      <c r="AE8" s="39"/>
      <c r="AI8" s="40" t="s">
        <v>61</v>
      </c>
      <c r="AJ8" s="9">
        <f>AJ7-AJ6</f>
        <v>4.2074074074074082</v>
      </c>
      <c r="AN8" s="39"/>
    </row>
    <row r="9" spans="1:40" ht="12.9" customHeight="1" x14ac:dyDescent="0.3">
      <c r="A9" s="8">
        <v>3</v>
      </c>
      <c r="B9" s="9" t="s">
        <v>19</v>
      </c>
      <c r="C9" s="1">
        <v>14</v>
      </c>
      <c r="D9" s="1">
        <v>8</v>
      </c>
      <c r="E9" s="1">
        <v>14</v>
      </c>
      <c r="F9" s="1">
        <v>9</v>
      </c>
      <c r="G9" s="1">
        <v>11</v>
      </c>
      <c r="H9" s="15">
        <f t="shared" si="1"/>
        <v>11.2</v>
      </c>
      <c r="I9" s="1">
        <v>10</v>
      </c>
      <c r="J9" s="1">
        <v>15</v>
      </c>
      <c r="K9" s="1">
        <v>7</v>
      </c>
      <c r="L9" s="1">
        <v>14</v>
      </c>
      <c r="M9" s="1">
        <v>13</v>
      </c>
      <c r="N9" s="15">
        <f t="shared" si="2"/>
        <v>11.8</v>
      </c>
      <c r="O9" s="1">
        <v>20</v>
      </c>
      <c r="P9" s="1">
        <v>19</v>
      </c>
      <c r="Q9" s="1">
        <v>14</v>
      </c>
      <c r="R9" s="1">
        <v>21</v>
      </c>
      <c r="S9" s="1">
        <v>20</v>
      </c>
      <c r="T9" s="15">
        <f t="shared" si="0"/>
        <v>18.8</v>
      </c>
      <c r="U9" s="12" t="s">
        <v>53</v>
      </c>
      <c r="V9" s="12" t="s">
        <v>53</v>
      </c>
      <c r="W9" s="12" t="s">
        <v>53</v>
      </c>
      <c r="X9" s="117">
        <f t="shared" si="3"/>
        <v>41.8</v>
      </c>
      <c r="Z9" s="40" t="s">
        <v>62</v>
      </c>
      <c r="AA9" s="9">
        <f>(SUMSQ(H16,N16,T16)/9)-AA6</f>
        <v>76.954074074074924</v>
      </c>
      <c r="AE9" s="39"/>
      <c r="AI9" s="40" t="s">
        <v>62</v>
      </c>
      <c r="AJ9" s="9">
        <f>(SUMSQ(H30,N30,T30)/9)-AJ6</f>
        <v>0.10962962962962908</v>
      </c>
      <c r="AN9" s="39"/>
    </row>
    <row r="10" spans="1:40" ht="12.9" customHeight="1" x14ac:dyDescent="0.3">
      <c r="A10" s="8">
        <v>4</v>
      </c>
      <c r="B10" s="9" t="s">
        <v>20</v>
      </c>
      <c r="C10" s="1">
        <v>12</v>
      </c>
      <c r="D10" s="1">
        <v>7</v>
      </c>
      <c r="E10" s="1">
        <v>13</v>
      </c>
      <c r="F10" s="1">
        <v>13</v>
      </c>
      <c r="G10" s="1">
        <v>5</v>
      </c>
      <c r="H10" s="15">
        <f t="shared" si="1"/>
        <v>10</v>
      </c>
      <c r="I10" s="1">
        <v>11</v>
      </c>
      <c r="J10" s="1">
        <v>9</v>
      </c>
      <c r="K10" s="1">
        <v>7</v>
      </c>
      <c r="L10" s="1">
        <v>9</v>
      </c>
      <c r="M10" s="1">
        <v>11</v>
      </c>
      <c r="N10" s="15">
        <f t="shared" si="2"/>
        <v>9.4</v>
      </c>
      <c r="O10" s="1">
        <v>16</v>
      </c>
      <c r="P10" s="1">
        <v>9</v>
      </c>
      <c r="Q10" s="1">
        <v>17</v>
      </c>
      <c r="R10" s="1">
        <v>14</v>
      </c>
      <c r="S10" s="1">
        <v>17</v>
      </c>
      <c r="T10" s="15">
        <f t="shared" si="0"/>
        <v>14.6</v>
      </c>
      <c r="U10" s="12" t="s">
        <v>53</v>
      </c>
      <c r="V10" s="12" t="s">
        <v>53</v>
      </c>
      <c r="W10" s="12" t="s">
        <v>53</v>
      </c>
      <c r="X10" s="117">
        <f t="shared" si="3"/>
        <v>34</v>
      </c>
      <c r="Z10" s="40" t="s">
        <v>58</v>
      </c>
      <c r="AA10" s="9">
        <f>(SUMSQ(X7:X15)/3)-AA6</f>
        <v>58.882962962965394</v>
      </c>
      <c r="AE10" s="39"/>
      <c r="AI10" s="40" t="s">
        <v>58</v>
      </c>
      <c r="AJ10" s="9">
        <f>(SUMSQ(X21:X29)/3)-AJ6</f>
        <v>0.71407407407407386</v>
      </c>
      <c r="AN10" s="39"/>
    </row>
    <row r="11" spans="1:40" ht="12.9" customHeight="1" x14ac:dyDescent="0.3">
      <c r="A11" s="8">
        <v>5</v>
      </c>
      <c r="B11" s="9" t="s">
        <v>16</v>
      </c>
      <c r="C11" s="1">
        <v>13</v>
      </c>
      <c r="D11" s="1">
        <v>15</v>
      </c>
      <c r="E11" s="1">
        <v>13</v>
      </c>
      <c r="F11" s="1">
        <v>9</v>
      </c>
      <c r="G11" s="1">
        <v>6</v>
      </c>
      <c r="H11" s="15">
        <f t="shared" si="1"/>
        <v>11.2</v>
      </c>
      <c r="I11" s="1">
        <v>8</v>
      </c>
      <c r="J11" s="1">
        <v>6</v>
      </c>
      <c r="K11" s="1">
        <v>16</v>
      </c>
      <c r="L11" s="1">
        <v>9</v>
      </c>
      <c r="M11" s="1">
        <v>12</v>
      </c>
      <c r="N11" s="15">
        <f t="shared" si="2"/>
        <v>10.199999999999999</v>
      </c>
      <c r="O11" s="1">
        <v>19</v>
      </c>
      <c r="P11" s="1">
        <v>12</v>
      </c>
      <c r="Q11" s="1">
        <v>24</v>
      </c>
      <c r="R11" s="1">
        <v>14</v>
      </c>
      <c r="S11" s="1">
        <v>14</v>
      </c>
      <c r="T11" s="15">
        <f t="shared" si="0"/>
        <v>16.600000000000001</v>
      </c>
      <c r="U11" s="12" t="s">
        <v>53</v>
      </c>
      <c r="V11" s="12" t="s">
        <v>53</v>
      </c>
      <c r="W11" s="12" t="s">
        <v>53</v>
      </c>
      <c r="X11" s="117">
        <f t="shared" si="3"/>
        <v>38</v>
      </c>
      <c r="Z11" s="40" t="s">
        <v>59</v>
      </c>
      <c r="AA11" s="9">
        <f>AA8-AA9-AA10</f>
        <v>47.579259259258833</v>
      </c>
      <c r="AE11" s="39"/>
      <c r="AI11" s="40" t="s">
        <v>59</v>
      </c>
      <c r="AJ11" s="9">
        <f>AJ8-AJ9-AJ10</f>
        <v>3.3837037037037048</v>
      </c>
      <c r="AN11" s="39"/>
    </row>
    <row r="12" spans="1:40" ht="12.9" customHeight="1" x14ac:dyDescent="0.3">
      <c r="A12" s="8">
        <v>6</v>
      </c>
      <c r="B12" s="9" t="s">
        <v>17</v>
      </c>
      <c r="C12" s="1">
        <v>10</v>
      </c>
      <c r="D12" s="1">
        <v>14</v>
      </c>
      <c r="E12" s="1">
        <v>8</v>
      </c>
      <c r="F12" s="1">
        <v>9</v>
      </c>
      <c r="G12" s="1">
        <v>13</v>
      </c>
      <c r="H12" s="15">
        <f t="shared" si="1"/>
        <v>10.8</v>
      </c>
      <c r="I12" s="1">
        <v>12</v>
      </c>
      <c r="J12" s="1">
        <v>17</v>
      </c>
      <c r="K12" s="1">
        <v>8</v>
      </c>
      <c r="L12" s="1">
        <v>14</v>
      </c>
      <c r="M12" s="1">
        <v>12</v>
      </c>
      <c r="N12" s="15">
        <f t="shared" si="2"/>
        <v>12.6</v>
      </c>
      <c r="O12" s="1">
        <v>12</v>
      </c>
      <c r="P12" s="1">
        <v>18</v>
      </c>
      <c r="Q12" s="1">
        <v>19</v>
      </c>
      <c r="R12" s="1">
        <v>12</v>
      </c>
      <c r="S12" s="1">
        <v>14</v>
      </c>
      <c r="T12" s="15">
        <f t="shared" si="0"/>
        <v>15</v>
      </c>
      <c r="U12" s="12" t="s">
        <v>53</v>
      </c>
      <c r="V12" s="12" t="s">
        <v>53</v>
      </c>
      <c r="W12" s="12" t="s">
        <v>53</v>
      </c>
      <c r="X12" s="117">
        <f t="shared" si="3"/>
        <v>38.4</v>
      </c>
      <c r="Z12" s="38"/>
      <c r="AE12" s="39"/>
      <c r="AI12" s="38"/>
      <c r="AN12" s="39"/>
    </row>
    <row r="13" spans="1:40" ht="12.9" customHeight="1" x14ac:dyDescent="0.3">
      <c r="A13" s="8">
        <v>7</v>
      </c>
      <c r="B13" s="9" t="s">
        <v>14</v>
      </c>
      <c r="C13" s="5">
        <v>13</v>
      </c>
      <c r="D13" s="1">
        <v>15</v>
      </c>
      <c r="E13" s="1">
        <v>14</v>
      </c>
      <c r="F13" s="1">
        <v>7</v>
      </c>
      <c r="G13" s="1">
        <v>17</v>
      </c>
      <c r="H13" s="15">
        <f t="shared" si="1"/>
        <v>13.2</v>
      </c>
      <c r="I13" s="1">
        <v>16</v>
      </c>
      <c r="J13" s="1">
        <v>21</v>
      </c>
      <c r="K13" s="1">
        <v>12</v>
      </c>
      <c r="L13" s="1">
        <v>14</v>
      </c>
      <c r="M13" s="1">
        <v>22</v>
      </c>
      <c r="N13" s="15">
        <f t="shared" si="2"/>
        <v>17</v>
      </c>
      <c r="O13" s="1">
        <v>18</v>
      </c>
      <c r="P13" s="1">
        <v>20</v>
      </c>
      <c r="Q13" s="1">
        <v>15</v>
      </c>
      <c r="R13" s="1">
        <v>13</v>
      </c>
      <c r="S13" s="1">
        <v>9</v>
      </c>
      <c r="T13" s="15">
        <f t="shared" si="0"/>
        <v>15</v>
      </c>
      <c r="U13" s="12" t="s">
        <v>53</v>
      </c>
      <c r="V13" s="12" t="s">
        <v>53</v>
      </c>
      <c r="W13" s="12" t="s">
        <v>53</v>
      </c>
      <c r="X13" s="117">
        <f t="shared" si="3"/>
        <v>45.2</v>
      </c>
      <c r="Z13" s="38"/>
      <c r="AE13" s="39"/>
      <c r="AI13" s="38"/>
      <c r="AN13" s="39"/>
    </row>
    <row r="14" spans="1:40" ht="12.9" customHeight="1" x14ac:dyDescent="0.3">
      <c r="A14" s="8">
        <v>8</v>
      </c>
      <c r="B14" s="9" t="s">
        <v>15</v>
      </c>
      <c r="C14" s="5">
        <v>19</v>
      </c>
      <c r="D14" s="1">
        <v>11</v>
      </c>
      <c r="E14" s="1">
        <v>14</v>
      </c>
      <c r="F14" s="1">
        <v>15</v>
      </c>
      <c r="G14" s="1">
        <v>14</v>
      </c>
      <c r="H14" s="15">
        <f t="shared" si="1"/>
        <v>14.6</v>
      </c>
      <c r="I14" s="1">
        <v>9</v>
      </c>
      <c r="J14" s="1">
        <v>13</v>
      </c>
      <c r="K14" s="1">
        <v>14</v>
      </c>
      <c r="L14" s="1">
        <v>16</v>
      </c>
      <c r="M14" s="1">
        <v>13</v>
      </c>
      <c r="N14" s="15">
        <f t="shared" si="2"/>
        <v>13</v>
      </c>
      <c r="O14" s="1">
        <v>14</v>
      </c>
      <c r="P14" s="1">
        <v>18</v>
      </c>
      <c r="Q14" s="1">
        <v>22</v>
      </c>
      <c r="R14" s="1">
        <v>16</v>
      </c>
      <c r="S14" s="1">
        <v>18</v>
      </c>
      <c r="T14" s="15">
        <f t="shared" si="0"/>
        <v>17.600000000000001</v>
      </c>
      <c r="U14" s="12" t="s">
        <v>53</v>
      </c>
      <c r="V14" s="12" t="s">
        <v>53</v>
      </c>
      <c r="W14" s="12" t="s">
        <v>53</v>
      </c>
      <c r="X14" s="117">
        <f t="shared" si="3"/>
        <v>45.2</v>
      </c>
      <c r="Z14" s="38"/>
      <c r="AE14" s="39"/>
      <c r="AI14" s="38"/>
      <c r="AN14" s="39"/>
    </row>
    <row r="15" spans="1:40" ht="12.9" customHeight="1" x14ac:dyDescent="0.3">
      <c r="A15" s="8">
        <v>9</v>
      </c>
      <c r="B15" s="9" t="s">
        <v>18</v>
      </c>
      <c r="C15" s="1">
        <v>12</v>
      </c>
      <c r="D15" s="1">
        <v>9</v>
      </c>
      <c r="E15" s="1">
        <v>11</v>
      </c>
      <c r="F15" s="1">
        <v>9</v>
      </c>
      <c r="G15" s="1">
        <v>12</v>
      </c>
      <c r="H15" s="15">
        <f t="shared" si="1"/>
        <v>10.6</v>
      </c>
      <c r="I15" s="1">
        <v>10</v>
      </c>
      <c r="J15" s="1">
        <v>14</v>
      </c>
      <c r="K15" s="1">
        <v>12</v>
      </c>
      <c r="L15" s="1">
        <v>14</v>
      </c>
      <c r="M15" s="1">
        <v>17</v>
      </c>
      <c r="N15" s="15">
        <f t="shared" si="2"/>
        <v>13.4</v>
      </c>
      <c r="O15" s="1">
        <v>9</v>
      </c>
      <c r="P15" s="1">
        <v>13</v>
      </c>
      <c r="Q15" s="1">
        <v>13</v>
      </c>
      <c r="R15" s="1">
        <v>14</v>
      </c>
      <c r="S15" s="1">
        <v>18</v>
      </c>
      <c r="T15" s="15">
        <f t="shared" si="0"/>
        <v>13.4</v>
      </c>
      <c r="U15" s="12" t="s">
        <v>53</v>
      </c>
      <c r="V15" s="12" t="s">
        <v>53</v>
      </c>
      <c r="W15" s="12" t="s">
        <v>53</v>
      </c>
      <c r="X15" s="117">
        <f t="shared" si="3"/>
        <v>37.4</v>
      </c>
      <c r="Z15" s="41"/>
      <c r="AA15" s="42"/>
      <c r="AB15" s="43"/>
      <c r="AC15" s="44"/>
      <c r="AE15" s="39"/>
      <c r="AI15" s="41"/>
      <c r="AJ15" s="42"/>
      <c r="AK15" s="43"/>
      <c r="AL15" s="44"/>
      <c r="AN15" s="39"/>
    </row>
    <row r="16" spans="1:40" ht="12.9" customHeight="1" x14ac:dyDescent="0.25">
      <c r="A16" s="68" t="s">
        <v>56</v>
      </c>
      <c r="B16" s="68"/>
      <c r="C16" s="14">
        <f>SUM(C7:C15)</f>
        <v>115</v>
      </c>
      <c r="D16" s="14">
        <f t="shared" ref="D16:T16" si="4">SUM(D7:D15)</f>
        <v>105</v>
      </c>
      <c r="E16" s="14">
        <f t="shared" si="4"/>
        <v>117</v>
      </c>
      <c r="F16" s="14">
        <f t="shared" si="4"/>
        <v>103</v>
      </c>
      <c r="G16" s="14">
        <f t="shared" si="4"/>
        <v>109</v>
      </c>
      <c r="H16" s="15">
        <f>SUM(H7:H15)</f>
        <v>109.79999999999998</v>
      </c>
      <c r="I16" s="14">
        <f t="shared" si="4"/>
        <v>105</v>
      </c>
      <c r="J16" s="14">
        <f t="shared" si="4"/>
        <v>130</v>
      </c>
      <c r="K16" s="14">
        <f t="shared" si="4"/>
        <v>106</v>
      </c>
      <c r="L16" s="14">
        <f t="shared" si="4"/>
        <v>122</v>
      </c>
      <c r="M16" s="14">
        <f t="shared" si="4"/>
        <v>128</v>
      </c>
      <c r="N16" s="14">
        <f t="shared" si="4"/>
        <v>118.2</v>
      </c>
      <c r="O16" s="14">
        <f t="shared" si="4"/>
        <v>138</v>
      </c>
      <c r="P16" s="14">
        <f t="shared" si="4"/>
        <v>146</v>
      </c>
      <c r="Q16" s="14">
        <f t="shared" si="4"/>
        <v>158</v>
      </c>
      <c r="R16" s="14">
        <f t="shared" si="4"/>
        <v>141</v>
      </c>
      <c r="S16" s="14">
        <f t="shared" si="4"/>
        <v>144</v>
      </c>
      <c r="T16" s="14">
        <f t="shared" si="4"/>
        <v>145.4</v>
      </c>
      <c r="U16" s="14"/>
      <c r="V16" s="14"/>
      <c r="W16" s="14"/>
      <c r="X16" s="118">
        <f>SUM(X7:X15)</f>
        <v>373.4</v>
      </c>
      <c r="Z16" s="41"/>
      <c r="AA16" s="42"/>
      <c r="AB16" s="43"/>
      <c r="AC16" s="44"/>
      <c r="AD16" s="93" t="s">
        <v>63</v>
      </c>
      <c r="AE16" s="94"/>
      <c r="AI16" s="41"/>
      <c r="AJ16" s="42"/>
      <c r="AK16" s="43"/>
      <c r="AL16" s="44"/>
      <c r="AM16" s="93" t="s">
        <v>63</v>
      </c>
      <c r="AN16" s="94"/>
    </row>
    <row r="17" spans="1:40" ht="12.9" customHeight="1" x14ac:dyDescent="0.25">
      <c r="A17" s="69" t="s">
        <v>22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Z17" s="45" t="s">
        <v>64</v>
      </c>
      <c r="AA17" s="32" t="s">
        <v>65</v>
      </c>
      <c r="AB17" s="33" t="s">
        <v>66</v>
      </c>
      <c r="AC17" s="34" t="s">
        <v>67</v>
      </c>
      <c r="AD17" s="33" t="s">
        <v>68</v>
      </c>
      <c r="AE17" s="46" t="s">
        <v>69</v>
      </c>
      <c r="AI17" s="45" t="s">
        <v>64</v>
      </c>
      <c r="AJ17" s="32" t="s">
        <v>65</v>
      </c>
      <c r="AK17" s="33" t="s">
        <v>66</v>
      </c>
      <c r="AL17" s="34" t="s">
        <v>67</v>
      </c>
      <c r="AM17" s="33" t="s">
        <v>68</v>
      </c>
      <c r="AN17" s="46" t="s">
        <v>69</v>
      </c>
    </row>
    <row r="18" spans="1:40" ht="12" customHeight="1" x14ac:dyDescent="0.25">
      <c r="A18" s="77" t="s">
        <v>0</v>
      </c>
      <c r="B18" s="110" t="s">
        <v>40</v>
      </c>
      <c r="C18" s="83" t="s">
        <v>7</v>
      </c>
      <c r="D18" s="84"/>
      <c r="E18" s="84"/>
      <c r="F18" s="84"/>
      <c r="G18" s="84"/>
      <c r="H18" s="85"/>
      <c r="I18" s="83" t="s">
        <v>7</v>
      </c>
      <c r="J18" s="84"/>
      <c r="K18" s="84"/>
      <c r="L18" s="84"/>
      <c r="M18" s="84"/>
      <c r="N18" s="85"/>
      <c r="O18" s="83" t="s">
        <v>7</v>
      </c>
      <c r="P18" s="84"/>
      <c r="Q18" s="84"/>
      <c r="R18" s="84"/>
      <c r="S18" s="84"/>
      <c r="T18" s="85"/>
      <c r="U18" s="104" t="s">
        <v>26</v>
      </c>
      <c r="V18" s="105"/>
      <c r="W18" s="106"/>
      <c r="X18" s="102" t="s">
        <v>56</v>
      </c>
      <c r="Z18" s="47" t="s">
        <v>70</v>
      </c>
      <c r="AA18" s="35">
        <f>3-1</f>
        <v>2</v>
      </c>
      <c r="AB18" s="36">
        <f>AA9</f>
        <v>76.954074074074924</v>
      </c>
      <c r="AC18" s="37">
        <f>AB18/AA18</f>
        <v>38.477037037037462</v>
      </c>
      <c r="AD18" s="36">
        <f>AC18/AC20</f>
        <v>12.939095777805713</v>
      </c>
      <c r="AE18" s="48">
        <v>3.63</v>
      </c>
      <c r="AI18" s="47" t="s">
        <v>70</v>
      </c>
      <c r="AJ18" s="35">
        <f>3-1</f>
        <v>2</v>
      </c>
      <c r="AK18" s="36">
        <f>AJ9</f>
        <v>0.10962962962962908</v>
      </c>
      <c r="AL18" s="37">
        <f>AK18/AJ18</f>
        <v>5.4814814814814539E-2</v>
      </c>
      <c r="AM18" s="36">
        <f>AL18/AL20</f>
        <v>0.25919439579684622</v>
      </c>
      <c r="AN18" s="48">
        <v>3.63</v>
      </c>
    </row>
    <row r="19" spans="1:40" ht="12.9" customHeight="1" x14ac:dyDescent="0.25">
      <c r="A19" s="78"/>
      <c r="B19" s="111"/>
      <c r="C19" s="88" t="s">
        <v>27</v>
      </c>
      <c r="D19" s="89"/>
      <c r="E19" s="89"/>
      <c r="F19" s="89"/>
      <c r="G19" s="89"/>
      <c r="H19" s="90"/>
      <c r="I19" s="88" t="s">
        <v>28</v>
      </c>
      <c r="J19" s="89"/>
      <c r="K19" s="89"/>
      <c r="L19" s="89"/>
      <c r="M19" s="89"/>
      <c r="N19" s="90"/>
      <c r="O19" s="88" t="s">
        <v>29</v>
      </c>
      <c r="P19" s="89"/>
      <c r="Q19" s="89"/>
      <c r="R19" s="89"/>
      <c r="S19" s="89"/>
      <c r="T19" s="90"/>
      <c r="U19" s="107"/>
      <c r="V19" s="108"/>
      <c r="W19" s="109"/>
      <c r="X19" s="102"/>
      <c r="Z19" s="47" t="s">
        <v>71</v>
      </c>
      <c r="AA19" s="35">
        <f>9-1</f>
        <v>8</v>
      </c>
      <c r="AB19" s="36">
        <f>AA10</f>
        <v>58.882962962965394</v>
      </c>
      <c r="AC19" s="37">
        <f>AB19/AA19</f>
        <v>7.3603703703706742</v>
      </c>
      <c r="AD19" s="36">
        <f>AC19/AC20</f>
        <v>2.4751525719268899</v>
      </c>
      <c r="AE19" s="48">
        <v>2.59</v>
      </c>
      <c r="AI19" s="47" t="s">
        <v>71</v>
      </c>
      <c r="AJ19" s="35">
        <f>9-1</f>
        <v>8</v>
      </c>
      <c r="AK19" s="36">
        <f>AJ10</f>
        <v>0.71407407407407386</v>
      </c>
      <c r="AL19" s="37">
        <f>AK19/AJ19</f>
        <v>8.9259259259259233E-2</v>
      </c>
      <c r="AM19" s="36">
        <f>AL19/AL20</f>
        <v>0.42206654991243409</v>
      </c>
      <c r="AN19" s="48">
        <v>2.59</v>
      </c>
    </row>
    <row r="20" spans="1:40" ht="12.9" customHeight="1" x14ac:dyDescent="0.25">
      <c r="A20" s="79"/>
      <c r="B20" s="112"/>
      <c r="C20" s="1">
        <v>1</v>
      </c>
      <c r="D20" s="1">
        <v>2</v>
      </c>
      <c r="E20" s="1">
        <v>3</v>
      </c>
      <c r="F20" s="1">
        <v>4</v>
      </c>
      <c r="G20" s="1">
        <v>5</v>
      </c>
      <c r="H20" s="14" t="s">
        <v>4</v>
      </c>
      <c r="I20" s="1">
        <v>1</v>
      </c>
      <c r="J20" s="1">
        <v>2</v>
      </c>
      <c r="K20" s="1">
        <v>3</v>
      </c>
      <c r="L20" s="1">
        <v>4</v>
      </c>
      <c r="M20" s="1">
        <v>5</v>
      </c>
      <c r="N20" s="14" t="s">
        <v>4</v>
      </c>
      <c r="O20" s="1">
        <v>1</v>
      </c>
      <c r="P20" s="1">
        <v>2</v>
      </c>
      <c r="Q20" s="1">
        <v>3</v>
      </c>
      <c r="R20" s="1">
        <v>4</v>
      </c>
      <c r="S20" s="1">
        <v>5</v>
      </c>
      <c r="T20" s="14" t="s">
        <v>4</v>
      </c>
      <c r="U20" s="8" t="s">
        <v>1</v>
      </c>
      <c r="V20" s="8" t="s">
        <v>2</v>
      </c>
      <c r="W20" s="8" t="s">
        <v>3</v>
      </c>
      <c r="X20" s="103"/>
      <c r="Z20" s="47" t="s">
        <v>72</v>
      </c>
      <c r="AA20" s="35">
        <f>(9-1)*(3-1)</f>
        <v>16</v>
      </c>
      <c r="AB20" s="36">
        <f>AA11</f>
        <v>47.579259259258833</v>
      </c>
      <c r="AC20" s="44">
        <f>AB20/AA20</f>
        <v>2.9737037037036771</v>
      </c>
      <c r="AD20" s="43"/>
      <c r="AE20" s="49"/>
      <c r="AI20" s="47" t="s">
        <v>72</v>
      </c>
      <c r="AJ20" s="35">
        <f>(9-1)*(3-1)</f>
        <v>16</v>
      </c>
      <c r="AK20" s="36">
        <f>AJ11</f>
        <v>3.3837037037037048</v>
      </c>
      <c r="AL20" s="44">
        <f>AK20/AJ20</f>
        <v>0.21148148148148155</v>
      </c>
      <c r="AM20" s="43"/>
      <c r="AN20" s="49"/>
    </row>
    <row r="21" spans="1:40" ht="12.9" customHeight="1" x14ac:dyDescent="0.3">
      <c r="A21" s="8">
        <v>1</v>
      </c>
      <c r="B21" s="9" t="s">
        <v>12</v>
      </c>
      <c r="C21" s="27">
        <v>0</v>
      </c>
      <c r="D21" s="27">
        <v>0</v>
      </c>
      <c r="E21" s="27">
        <v>1</v>
      </c>
      <c r="F21" s="27">
        <v>0</v>
      </c>
      <c r="G21" s="27">
        <v>0</v>
      </c>
      <c r="H21" s="15">
        <f>AVERAGE(C21:G21)</f>
        <v>0.2</v>
      </c>
      <c r="I21" s="27">
        <v>0</v>
      </c>
      <c r="J21" s="27">
        <v>0</v>
      </c>
      <c r="K21" s="27">
        <v>0</v>
      </c>
      <c r="L21" s="27">
        <v>1</v>
      </c>
      <c r="M21" s="27">
        <v>0</v>
      </c>
      <c r="N21" s="15">
        <f>AVERAGE(I21:M21)</f>
        <v>0.2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15">
        <f>AVERAGE(O21:S21)</f>
        <v>0</v>
      </c>
      <c r="U21" s="11" t="s">
        <v>54</v>
      </c>
      <c r="V21" s="11" t="s">
        <v>54</v>
      </c>
      <c r="W21" s="11" t="s">
        <v>54</v>
      </c>
      <c r="X21" s="117">
        <f t="shared" ref="X21:X29" si="5">SUM(H21,N21,T21)</f>
        <v>0.4</v>
      </c>
      <c r="Z21" s="50" t="s">
        <v>56</v>
      </c>
      <c r="AA21" s="32">
        <f>9*3-1</f>
        <v>26</v>
      </c>
      <c r="AB21" s="33">
        <f>AA8</f>
        <v>183.41629629629915</v>
      </c>
      <c r="AC21" s="44"/>
      <c r="AD21" s="43"/>
      <c r="AE21" s="49"/>
      <c r="AI21" s="50" t="s">
        <v>56</v>
      </c>
      <c r="AJ21" s="32">
        <f>9*3-1</f>
        <v>26</v>
      </c>
      <c r="AK21" s="33">
        <f>AJ8</f>
        <v>4.2074074074074082</v>
      </c>
      <c r="AL21" s="44"/>
      <c r="AM21" s="43"/>
      <c r="AN21" s="49"/>
    </row>
    <row r="22" spans="1:40" ht="12.9" customHeight="1" x14ac:dyDescent="0.3">
      <c r="A22" s="8">
        <v>2</v>
      </c>
      <c r="B22" s="9" t="s">
        <v>13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15">
        <f t="shared" ref="H22:H29" si="6">AVERAGE(C22:G22)</f>
        <v>0</v>
      </c>
      <c r="I22" s="27">
        <v>1</v>
      </c>
      <c r="J22" s="27">
        <v>0</v>
      </c>
      <c r="K22" s="27">
        <v>0</v>
      </c>
      <c r="L22" s="27">
        <v>0</v>
      </c>
      <c r="M22" s="27">
        <v>3</v>
      </c>
      <c r="N22" s="15">
        <f t="shared" ref="N22:N29" si="7">AVERAGE(I22:M22)</f>
        <v>0.8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15">
        <f t="shared" ref="T22:T29" si="8">AVERAGE(O22:S22)</f>
        <v>0</v>
      </c>
      <c r="U22" s="11" t="s">
        <v>54</v>
      </c>
      <c r="V22" s="11" t="s">
        <v>54</v>
      </c>
      <c r="W22" s="11" t="s">
        <v>54</v>
      </c>
      <c r="X22" s="117">
        <f t="shared" si="5"/>
        <v>0.8</v>
      </c>
      <c r="Z22" s="38"/>
      <c r="AE22" s="39"/>
      <c r="AI22" s="38"/>
      <c r="AN22" s="39"/>
    </row>
    <row r="23" spans="1:40" ht="12.9" customHeight="1" x14ac:dyDescent="0.3">
      <c r="A23" s="8">
        <v>3</v>
      </c>
      <c r="B23" s="9" t="s">
        <v>19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15">
        <f t="shared" si="6"/>
        <v>0</v>
      </c>
      <c r="I23" s="27">
        <v>0</v>
      </c>
      <c r="J23" s="27">
        <v>0</v>
      </c>
      <c r="K23" s="27">
        <v>2</v>
      </c>
      <c r="L23" s="27">
        <v>1</v>
      </c>
      <c r="M23" s="27">
        <v>0</v>
      </c>
      <c r="N23" s="15">
        <f t="shared" si="7"/>
        <v>0.6</v>
      </c>
      <c r="O23" s="27">
        <v>0</v>
      </c>
      <c r="P23" s="27">
        <v>2</v>
      </c>
      <c r="Q23" s="27">
        <v>0</v>
      </c>
      <c r="R23" s="27">
        <v>0</v>
      </c>
      <c r="S23" s="27">
        <v>0</v>
      </c>
      <c r="T23" s="15">
        <f t="shared" si="8"/>
        <v>0.4</v>
      </c>
      <c r="U23" s="11" t="s">
        <v>54</v>
      </c>
      <c r="V23" s="11" t="s">
        <v>54</v>
      </c>
      <c r="W23" s="11" t="s">
        <v>54</v>
      </c>
      <c r="X23" s="117">
        <f t="shared" si="5"/>
        <v>1</v>
      </c>
      <c r="Z23" s="51"/>
      <c r="AA23" s="52" t="s">
        <v>73</v>
      </c>
      <c r="AB23" s="42">
        <f>SQRT((2*AC20)/3)</f>
        <v>1.4080018237923029</v>
      </c>
      <c r="AC23" s="42"/>
      <c r="AD23" s="53"/>
      <c r="AE23" s="39"/>
      <c r="AI23" s="51"/>
      <c r="AJ23" s="52" t="s">
        <v>73</v>
      </c>
      <c r="AK23" s="42">
        <f>SQRT((2*AL20)/3)</f>
        <v>0.37548322774924009</v>
      </c>
      <c r="AL23" s="42"/>
      <c r="AM23" s="53"/>
      <c r="AN23" s="39"/>
    </row>
    <row r="24" spans="1:40" ht="12.9" customHeight="1" x14ac:dyDescent="0.3">
      <c r="A24" s="8">
        <v>4</v>
      </c>
      <c r="B24" s="9" t="s">
        <v>20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15">
        <f t="shared" si="6"/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15">
        <f t="shared" si="7"/>
        <v>0</v>
      </c>
      <c r="O24" s="27">
        <v>0</v>
      </c>
      <c r="P24" s="27">
        <v>2</v>
      </c>
      <c r="Q24" s="27">
        <v>1</v>
      </c>
      <c r="R24" s="27">
        <v>0</v>
      </c>
      <c r="S24" s="27">
        <v>0</v>
      </c>
      <c r="T24" s="15">
        <f t="shared" si="8"/>
        <v>0.6</v>
      </c>
      <c r="U24" s="11" t="s">
        <v>54</v>
      </c>
      <c r="V24" s="11" t="s">
        <v>54</v>
      </c>
      <c r="W24" s="11" t="s">
        <v>54</v>
      </c>
      <c r="X24" s="117">
        <f t="shared" si="5"/>
        <v>0.6</v>
      </c>
      <c r="Z24" s="51"/>
      <c r="AA24" s="42" t="s">
        <v>74</v>
      </c>
      <c r="AB24" s="42"/>
      <c r="AC24" s="42"/>
      <c r="AD24" s="53"/>
      <c r="AE24" s="39"/>
      <c r="AI24" s="51"/>
      <c r="AJ24" s="42" t="s">
        <v>74</v>
      </c>
      <c r="AK24" s="42"/>
      <c r="AL24" s="42"/>
      <c r="AM24" s="53"/>
      <c r="AN24" s="39"/>
    </row>
    <row r="25" spans="1:40" ht="12.9" customHeight="1" x14ac:dyDescent="0.3">
      <c r="A25" s="8">
        <v>5</v>
      </c>
      <c r="B25" s="9" t="s">
        <v>16</v>
      </c>
      <c r="C25" s="27">
        <v>0</v>
      </c>
      <c r="D25" s="27">
        <v>1</v>
      </c>
      <c r="E25" s="27">
        <v>1</v>
      </c>
      <c r="F25" s="27">
        <v>0</v>
      </c>
      <c r="G25" s="27">
        <v>0</v>
      </c>
      <c r="H25" s="15">
        <f t="shared" si="6"/>
        <v>0.4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15">
        <f t="shared" si="7"/>
        <v>0</v>
      </c>
      <c r="O25" s="27">
        <v>0</v>
      </c>
      <c r="P25" s="27">
        <v>0</v>
      </c>
      <c r="Q25" s="27">
        <v>1</v>
      </c>
      <c r="R25" s="27">
        <v>0</v>
      </c>
      <c r="S25" s="27">
        <v>0</v>
      </c>
      <c r="T25" s="15">
        <f t="shared" si="8"/>
        <v>0.2</v>
      </c>
      <c r="U25" s="11" t="s">
        <v>54</v>
      </c>
      <c r="V25" s="11" t="s">
        <v>54</v>
      </c>
      <c r="W25" s="11" t="s">
        <v>54</v>
      </c>
      <c r="X25" s="117">
        <f t="shared" si="5"/>
        <v>0.60000000000000009</v>
      </c>
      <c r="Z25" s="54"/>
      <c r="AA25" s="5" t="s">
        <v>75</v>
      </c>
      <c r="AB25" s="55">
        <f>2.12*AB23</f>
        <v>2.9849638664396823</v>
      </c>
      <c r="AC25" s="56" t="s">
        <v>76</v>
      </c>
      <c r="AD25" s="57"/>
      <c r="AE25" s="39"/>
      <c r="AI25" s="54"/>
      <c r="AJ25" s="5" t="s">
        <v>75</v>
      </c>
      <c r="AK25" s="55">
        <f>2.12*AK23</f>
        <v>0.79602444282838902</v>
      </c>
      <c r="AL25" s="56" t="s">
        <v>76</v>
      </c>
      <c r="AM25" s="57"/>
      <c r="AN25" s="39"/>
    </row>
    <row r="26" spans="1:40" ht="12.9" customHeight="1" x14ac:dyDescent="0.3">
      <c r="A26" s="8">
        <v>6</v>
      </c>
      <c r="B26" s="9" t="s">
        <v>17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15">
        <f t="shared" si="6"/>
        <v>0</v>
      </c>
      <c r="I26" s="27">
        <v>3</v>
      </c>
      <c r="J26" s="27">
        <v>3</v>
      </c>
      <c r="K26" s="27">
        <v>0</v>
      </c>
      <c r="L26" s="27">
        <v>0</v>
      </c>
      <c r="M26" s="27">
        <v>0</v>
      </c>
      <c r="N26" s="15">
        <f t="shared" si="7"/>
        <v>1.2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15">
        <f t="shared" si="8"/>
        <v>0</v>
      </c>
      <c r="U26" s="11" t="s">
        <v>54</v>
      </c>
      <c r="V26" s="11" t="s">
        <v>54</v>
      </c>
      <c r="W26" s="11" t="s">
        <v>54</v>
      </c>
      <c r="X26" s="117">
        <f t="shared" si="5"/>
        <v>1.2</v>
      </c>
      <c r="Z26" s="54" t="s">
        <v>77</v>
      </c>
      <c r="AA26" s="42" t="s">
        <v>78</v>
      </c>
      <c r="AB26" s="42"/>
      <c r="AC26" s="42"/>
      <c r="AD26" s="57" t="s">
        <v>79</v>
      </c>
      <c r="AE26" s="49" t="s">
        <v>81</v>
      </c>
      <c r="AI26" s="54" t="s">
        <v>77</v>
      </c>
      <c r="AJ26" s="42" t="s">
        <v>78</v>
      </c>
      <c r="AK26" s="42"/>
      <c r="AL26" s="42"/>
      <c r="AM26" s="57" t="s">
        <v>79</v>
      </c>
      <c r="AN26" s="49" t="s">
        <v>81</v>
      </c>
    </row>
    <row r="27" spans="1:40" ht="12.9" customHeight="1" thickBot="1" x14ac:dyDescent="0.35">
      <c r="A27" s="8">
        <v>7</v>
      </c>
      <c r="B27" s="9" t="s">
        <v>14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15">
        <f t="shared" si="6"/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15">
        <f t="shared" si="7"/>
        <v>0</v>
      </c>
      <c r="O27" s="27">
        <v>1</v>
      </c>
      <c r="P27" s="27">
        <v>0</v>
      </c>
      <c r="Q27" s="27">
        <v>0</v>
      </c>
      <c r="R27" s="27">
        <v>0</v>
      </c>
      <c r="S27" s="27">
        <v>0</v>
      </c>
      <c r="T27" s="15">
        <f t="shared" si="8"/>
        <v>0.2</v>
      </c>
      <c r="U27" s="11" t="s">
        <v>54</v>
      </c>
      <c r="V27" s="11" t="s">
        <v>54</v>
      </c>
      <c r="W27" s="11" t="s">
        <v>54</v>
      </c>
      <c r="X27" s="117">
        <f t="shared" si="5"/>
        <v>0.2</v>
      </c>
      <c r="Z27" s="58"/>
      <c r="AA27" s="59"/>
      <c r="AB27" s="60" t="s">
        <v>80</v>
      </c>
      <c r="AC27" s="59"/>
      <c r="AD27" s="60"/>
      <c r="AE27" s="61"/>
      <c r="AI27" s="58"/>
      <c r="AJ27" s="59"/>
      <c r="AK27" s="60" t="s">
        <v>80</v>
      </c>
      <c r="AL27" s="59"/>
      <c r="AM27" s="60"/>
      <c r="AN27" s="61"/>
    </row>
    <row r="28" spans="1:40" ht="12.9" customHeight="1" x14ac:dyDescent="0.3">
      <c r="A28" s="8">
        <v>8</v>
      </c>
      <c r="B28" s="9" t="s">
        <v>15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15">
        <f t="shared" si="6"/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15">
        <f t="shared" si="7"/>
        <v>0</v>
      </c>
      <c r="O28" s="27">
        <v>0</v>
      </c>
      <c r="P28" s="27">
        <v>0</v>
      </c>
      <c r="Q28" s="27">
        <v>0</v>
      </c>
      <c r="R28" s="27">
        <v>1</v>
      </c>
      <c r="S28" s="27">
        <v>0</v>
      </c>
      <c r="T28" s="15">
        <f t="shared" si="8"/>
        <v>0.2</v>
      </c>
      <c r="U28" s="11" t="s">
        <v>54</v>
      </c>
      <c r="V28" s="11" t="s">
        <v>54</v>
      </c>
      <c r="W28" s="11" t="s">
        <v>54</v>
      </c>
      <c r="X28" s="117">
        <f t="shared" si="5"/>
        <v>0.2</v>
      </c>
    </row>
    <row r="29" spans="1:40" ht="12.9" customHeight="1" x14ac:dyDescent="0.3">
      <c r="A29" s="8">
        <v>9</v>
      </c>
      <c r="B29" s="9" t="s">
        <v>18</v>
      </c>
      <c r="C29" s="27">
        <v>1</v>
      </c>
      <c r="D29" s="27">
        <v>0</v>
      </c>
      <c r="E29" s="27">
        <v>4</v>
      </c>
      <c r="F29" s="27">
        <v>0</v>
      </c>
      <c r="G29" s="27">
        <v>3</v>
      </c>
      <c r="H29" s="15">
        <f t="shared" si="6"/>
        <v>1.6</v>
      </c>
      <c r="I29" s="27">
        <v>0</v>
      </c>
      <c r="J29" s="27">
        <v>0</v>
      </c>
      <c r="K29" s="27">
        <v>0</v>
      </c>
      <c r="L29" s="27">
        <v>1</v>
      </c>
      <c r="M29" s="27">
        <v>0</v>
      </c>
      <c r="N29" s="15">
        <f t="shared" si="7"/>
        <v>0.2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15">
        <f t="shared" si="8"/>
        <v>0</v>
      </c>
      <c r="U29" s="11" t="s">
        <v>54</v>
      </c>
      <c r="V29" s="11" t="s">
        <v>54</v>
      </c>
      <c r="W29" s="11" t="s">
        <v>54</v>
      </c>
      <c r="X29" s="117">
        <f t="shared" si="5"/>
        <v>1.8</v>
      </c>
    </row>
    <row r="30" spans="1:40" ht="12.9" customHeight="1" x14ac:dyDescent="0.3">
      <c r="A30" s="68" t="s">
        <v>56</v>
      </c>
      <c r="B30" s="68"/>
      <c r="C30" s="15">
        <f>SUM(C21:C29)</f>
        <v>1</v>
      </c>
      <c r="D30" s="15">
        <f t="shared" ref="D30:T30" si="9">SUM(D21:D29)</f>
        <v>1</v>
      </c>
      <c r="E30" s="15">
        <f t="shared" si="9"/>
        <v>6</v>
      </c>
      <c r="F30" s="15">
        <f t="shared" si="9"/>
        <v>0</v>
      </c>
      <c r="G30" s="15">
        <f t="shared" si="9"/>
        <v>3</v>
      </c>
      <c r="H30" s="15">
        <f t="shared" si="9"/>
        <v>2.2000000000000002</v>
      </c>
      <c r="I30" s="15">
        <f t="shared" si="9"/>
        <v>4</v>
      </c>
      <c r="J30" s="15">
        <f t="shared" si="9"/>
        <v>3</v>
      </c>
      <c r="K30" s="15">
        <f t="shared" si="9"/>
        <v>2</v>
      </c>
      <c r="L30" s="15">
        <f t="shared" si="9"/>
        <v>3</v>
      </c>
      <c r="M30" s="15">
        <f t="shared" si="9"/>
        <v>3</v>
      </c>
      <c r="N30" s="15">
        <f t="shared" si="9"/>
        <v>3</v>
      </c>
      <c r="O30" s="15">
        <f t="shared" si="9"/>
        <v>1</v>
      </c>
      <c r="P30" s="15">
        <f t="shared" si="9"/>
        <v>4</v>
      </c>
      <c r="Q30" s="15">
        <f t="shared" si="9"/>
        <v>2</v>
      </c>
      <c r="R30" s="15">
        <f t="shared" si="9"/>
        <v>1</v>
      </c>
      <c r="S30" s="15">
        <f t="shared" si="9"/>
        <v>0</v>
      </c>
      <c r="T30" s="15">
        <f t="shared" si="9"/>
        <v>1.5999999999999999</v>
      </c>
      <c r="U30" s="30"/>
      <c r="V30" s="30"/>
      <c r="W30" s="30"/>
      <c r="X30" s="62">
        <f>SUM(X21:X29)</f>
        <v>6.8000000000000007</v>
      </c>
    </row>
    <row r="31" spans="1:40" ht="12.9" customHeight="1" x14ac:dyDescent="0.3">
      <c r="A31" s="69" t="s">
        <v>23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40" ht="12.9" customHeight="1" x14ac:dyDescent="0.3">
      <c r="A32" s="77" t="s">
        <v>0</v>
      </c>
      <c r="B32" s="110" t="s">
        <v>40</v>
      </c>
      <c r="C32" s="83" t="s">
        <v>7</v>
      </c>
      <c r="D32" s="84"/>
      <c r="E32" s="84"/>
      <c r="F32" s="84"/>
      <c r="G32" s="84"/>
      <c r="H32" s="85"/>
      <c r="I32" s="83" t="s">
        <v>7</v>
      </c>
      <c r="J32" s="84"/>
      <c r="K32" s="84"/>
      <c r="L32" s="84"/>
      <c r="M32" s="84"/>
      <c r="N32" s="85"/>
      <c r="O32" s="83" t="s">
        <v>7</v>
      </c>
      <c r="P32" s="84"/>
      <c r="Q32" s="84"/>
      <c r="R32" s="84"/>
      <c r="S32" s="84"/>
      <c r="T32" s="85"/>
      <c r="U32" s="104" t="s">
        <v>26</v>
      </c>
      <c r="V32" s="105"/>
      <c r="W32" s="106"/>
    </row>
    <row r="33" spans="1:23" ht="12.9" customHeight="1" x14ac:dyDescent="0.3">
      <c r="A33" s="78"/>
      <c r="B33" s="111"/>
      <c r="C33" s="88" t="s">
        <v>27</v>
      </c>
      <c r="D33" s="89"/>
      <c r="E33" s="89"/>
      <c r="F33" s="89"/>
      <c r="G33" s="89"/>
      <c r="H33" s="90"/>
      <c r="I33" s="88" t="s">
        <v>28</v>
      </c>
      <c r="J33" s="89"/>
      <c r="K33" s="89"/>
      <c r="L33" s="89"/>
      <c r="M33" s="89"/>
      <c r="N33" s="90"/>
      <c r="O33" s="88" t="s">
        <v>29</v>
      </c>
      <c r="P33" s="89"/>
      <c r="Q33" s="89"/>
      <c r="R33" s="89"/>
      <c r="S33" s="89"/>
      <c r="T33" s="90"/>
      <c r="U33" s="107"/>
      <c r="V33" s="108"/>
      <c r="W33" s="109"/>
    </row>
    <row r="34" spans="1:23" ht="12.9" customHeight="1" x14ac:dyDescent="0.3">
      <c r="A34" s="79"/>
      <c r="B34" s="112"/>
      <c r="C34" s="1">
        <v>1</v>
      </c>
      <c r="D34" s="1">
        <v>2</v>
      </c>
      <c r="E34" s="1">
        <v>3</v>
      </c>
      <c r="F34" s="1">
        <v>4</v>
      </c>
      <c r="G34" s="1">
        <v>5</v>
      </c>
      <c r="H34" s="14" t="s">
        <v>4</v>
      </c>
      <c r="I34" s="1">
        <v>1</v>
      </c>
      <c r="J34" s="1">
        <v>2</v>
      </c>
      <c r="K34" s="1">
        <v>3</v>
      </c>
      <c r="L34" s="1">
        <v>4</v>
      </c>
      <c r="M34" s="1">
        <v>5</v>
      </c>
      <c r="N34" s="14" t="s">
        <v>4</v>
      </c>
      <c r="O34" s="1">
        <v>1</v>
      </c>
      <c r="P34" s="1">
        <v>2</v>
      </c>
      <c r="Q34" s="1">
        <v>3</v>
      </c>
      <c r="R34" s="1">
        <v>4</v>
      </c>
      <c r="S34" s="1">
        <v>5</v>
      </c>
      <c r="T34" s="14" t="s">
        <v>4</v>
      </c>
      <c r="U34" s="8" t="s">
        <v>1</v>
      </c>
      <c r="V34" s="8" t="s">
        <v>2</v>
      </c>
      <c r="W34" s="8" t="s">
        <v>3</v>
      </c>
    </row>
    <row r="35" spans="1:23" ht="12.9" customHeight="1" x14ac:dyDescent="0.3">
      <c r="A35" s="8">
        <v>1</v>
      </c>
      <c r="B35" s="9" t="s">
        <v>12</v>
      </c>
      <c r="C35" s="1"/>
      <c r="D35" s="1"/>
      <c r="E35" s="1"/>
      <c r="F35" s="1"/>
      <c r="G35" s="1"/>
      <c r="H35" s="15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5"/>
      <c r="U35" s="12"/>
      <c r="V35" s="12"/>
      <c r="W35" s="12"/>
    </row>
    <row r="36" spans="1:23" ht="12.9" customHeight="1" x14ac:dyDescent="0.3">
      <c r="A36" s="8">
        <v>2</v>
      </c>
      <c r="B36" s="9" t="s">
        <v>13</v>
      </c>
      <c r="C36" s="1"/>
      <c r="D36" s="1"/>
      <c r="E36" s="1"/>
      <c r="F36" s="1"/>
      <c r="G36" s="1"/>
      <c r="H36" s="15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5"/>
      <c r="U36" s="12"/>
      <c r="V36" s="12"/>
      <c r="W36" s="12"/>
    </row>
    <row r="37" spans="1:23" ht="12.9" customHeight="1" x14ac:dyDescent="0.3">
      <c r="A37" s="8">
        <v>3</v>
      </c>
      <c r="B37" s="9" t="s">
        <v>19</v>
      </c>
      <c r="C37" s="1"/>
      <c r="D37" s="1"/>
      <c r="E37" s="1"/>
      <c r="F37" s="1"/>
      <c r="G37" s="1"/>
      <c r="H37" s="15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5"/>
      <c r="U37" s="12"/>
      <c r="V37" s="12"/>
      <c r="W37" s="12"/>
    </row>
    <row r="38" spans="1:23" ht="12.9" customHeight="1" x14ac:dyDescent="0.3">
      <c r="A38" s="8">
        <v>4</v>
      </c>
      <c r="B38" s="9" t="s">
        <v>20</v>
      </c>
      <c r="C38" s="1"/>
      <c r="D38" s="1"/>
      <c r="E38" s="1"/>
      <c r="F38" s="1"/>
      <c r="G38" s="1"/>
      <c r="H38" s="15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5"/>
      <c r="U38" s="12"/>
      <c r="V38" s="12"/>
      <c r="W38" s="12"/>
    </row>
    <row r="39" spans="1:23" ht="12.9" customHeight="1" x14ac:dyDescent="0.3">
      <c r="A39" s="8">
        <v>5</v>
      </c>
      <c r="B39" s="9" t="s">
        <v>16</v>
      </c>
      <c r="C39" s="1"/>
      <c r="D39" s="1"/>
      <c r="E39" s="1"/>
      <c r="F39" s="1"/>
      <c r="G39" s="1"/>
      <c r="H39" s="15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5"/>
      <c r="U39" s="12"/>
      <c r="V39" s="12"/>
      <c r="W39" s="12"/>
    </row>
    <row r="40" spans="1:23" ht="12.9" customHeight="1" x14ac:dyDescent="0.3">
      <c r="A40" s="8">
        <v>6</v>
      </c>
      <c r="B40" s="9" t="s">
        <v>17</v>
      </c>
      <c r="C40" s="1"/>
      <c r="D40" s="1"/>
      <c r="E40" s="1"/>
      <c r="F40" s="1"/>
      <c r="G40" s="1"/>
      <c r="H40" s="15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5"/>
      <c r="U40" s="12"/>
      <c r="V40" s="12"/>
      <c r="W40" s="12"/>
    </row>
    <row r="41" spans="1:23" ht="12.9" customHeight="1" x14ac:dyDescent="0.3">
      <c r="A41" s="8">
        <v>7</v>
      </c>
      <c r="B41" s="9" t="s">
        <v>14</v>
      </c>
      <c r="C41" s="1"/>
      <c r="D41" s="1"/>
      <c r="E41" s="1"/>
      <c r="F41" s="1"/>
      <c r="G41" s="1"/>
      <c r="H41" s="15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5"/>
      <c r="U41" s="12"/>
      <c r="V41" s="12"/>
      <c r="W41" s="12"/>
    </row>
    <row r="42" spans="1:23" ht="12.9" customHeight="1" x14ac:dyDescent="0.3">
      <c r="A42" s="8">
        <v>8</v>
      </c>
      <c r="B42" s="9" t="s">
        <v>15</v>
      </c>
      <c r="C42" s="1"/>
      <c r="D42" s="1"/>
      <c r="E42" s="1"/>
      <c r="F42" s="1"/>
      <c r="G42" s="1"/>
      <c r="H42" s="15"/>
      <c r="I42" s="1"/>
      <c r="J42" s="1"/>
      <c r="K42" s="1"/>
      <c r="L42" s="1"/>
      <c r="M42" s="1"/>
      <c r="N42" s="15"/>
      <c r="O42" s="1"/>
      <c r="P42" s="1"/>
      <c r="Q42" s="1"/>
      <c r="R42" s="1"/>
      <c r="S42" s="1"/>
      <c r="T42" s="15"/>
      <c r="U42" s="12"/>
      <c r="V42" s="12"/>
      <c r="W42" s="12"/>
    </row>
    <row r="43" spans="1:23" x14ac:dyDescent="0.3">
      <c r="A43" s="8">
        <v>9</v>
      </c>
      <c r="B43" s="9" t="s">
        <v>18</v>
      </c>
      <c r="C43" s="1"/>
      <c r="D43" s="1"/>
      <c r="E43" s="1"/>
      <c r="F43" s="1"/>
      <c r="G43" s="1"/>
      <c r="H43" s="15"/>
      <c r="I43" s="1"/>
      <c r="J43" s="1"/>
      <c r="K43" s="1"/>
      <c r="L43" s="1"/>
      <c r="M43" s="1"/>
      <c r="N43" s="15"/>
      <c r="O43" s="1"/>
      <c r="P43" s="1"/>
      <c r="Q43" s="1"/>
      <c r="R43" s="1"/>
      <c r="S43" s="1"/>
      <c r="T43" s="15"/>
      <c r="U43" s="12"/>
      <c r="V43" s="12"/>
      <c r="W43" s="12"/>
    </row>
    <row r="44" spans="1:23" x14ac:dyDescent="0.3">
      <c r="U44" s="17"/>
      <c r="V44" s="17"/>
      <c r="W44" s="17"/>
    </row>
    <row r="45" spans="1:23" x14ac:dyDescent="0.3">
      <c r="U45" s="17"/>
      <c r="V45" s="17"/>
      <c r="W45" s="17"/>
    </row>
    <row r="46" spans="1:23" x14ac:dyDescent="0.3">
      <c r="U46" s="17"/>
      <c r="V46" s="17"/>
      <c r="W46" s="17"/>
    </row>
    <row r="47" spans="1:23" x14ac:dyDescent="0.3">
      <c r="U47" s="17"/>
      <c r="V47" s="17"/>
      <c r="W47" s="17"/>
    </row>
    <row r="48" spans="1:23" x14ac:dyDescent="0.3">
      <c r="U48" s="17"/>
      <c r="V48" s="17"/>
      <c r="W48" s="17"/>
    </row>
    <row r="49" spans="3:23" x14ac:dyDescent="0.3">
      <c r="U49" s="17"/>
      <c r="V49" s="17"/>
      <c r="W49" s="17"/>
    </row>
    <row r="50" spans="3:23" x14ac:dyDescent="0.3">
      <c r="U50" s="17"/>
      <c r="V50" s="17"/>
      <c r="W50" s="17"/>
    </row>
    <row r="51" spans="3:23" x14ac:dyDescent="0.3">
      <c r="U51" s="17"/>
      <c r="V51" s="17"/>
      <c r="W51" s="17"/>
    </row>
    <row r="52" spans="3:23" x14ac:dyDescent="0.3">
      <c r="U52" s="17"/>
      <c r="V52" s="17"/>
      <c r="W52" s="17"/>
    </row>
    <row r="53" spans="3:23" x14ac:dyDescent="0.3">
      <c r="U53" s="17"/>
      <c r="V53" s="17"/>
      <c r="W53" s="17"/>
    </row>
    <row r="54" spans="3:23" x14ac:dyDescent="0.3">
      <c r="U54" s="17"/>
      <c r="V54" s="17"/>
      <c r="W54" s="17"/>
    </row>
    <row r="55" spans="3:23" x14ac:dyDescent="0.3">
      <c r="U55" s="17"/>
      <c r="V55" s="17"/>
      <c r="W55" s="17"/>
    </row>
    <row r="56" spans="3:23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U56" s="17"/>
      <c r="V56" s="17"/>
      <c r="W56" s="17"/>
    </row>
    <row r="57" spans="3:23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U57" s="17"/>
      <c r="V57" s="17"/>
      <c r="W57" s="17"/>
    </row>
    <row r="58" spans="3:23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U58" s="17"/>
      <c r="V58" s="17"/>
      <c r="W58" s="17"/>
    </row>
    <row r="59" spans="3:23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U59" s="17"/>
      <c r="V59" s="17"/>
      <c r="W59" s="17"/>
    </row>
    <row r="60" spans="3:23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U60" s="17"/>
      <c r="V60" s="17"/>
      <c r="W60" s="17"/>
    </row>
    <row r="61" spans="3:23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U61" s="17"/>
      <c r="V61" s="17"/>
      <c r="W61" s="17"/>
    </row>
    <row r="62" spans="3:23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</sheetData>
  <mergeCells count="40">
    <mergeCell ref="Z3:AE3"/>
    <mergeCell ref="AD16:AE16"/>
    <mergeCell ref="AI3:AN3"/>
    <mergeCell ref="AM16:AN16"/>
    <mergeCell ref="A1:W1"/>
    <mergeCell ref="A3:W3"/>
    <mergeCell ref="U4:W5"/>
    <mergeCell ref="C5:H5"/>
    <mergeCell ref="I5:N5"/>
    <mergeCell ref="O5:T5"/>
    <mergeCell ref="A2:W2"/>
    <mergeCell ref="X4:X6"/>
    <mergeCell ref="A17:W17"/>
    <mergeCell ref="A4:A6"/>
    <mergeCell ref="B4:B6"/>
    <mergeCell ref="C4:H4"/>
    <mergeCell ref="I4:N4"/>
    <mergeCell ref="O4:T4"/>
    <mergeCell ref="O33:T33"/>
    <mergeCell ref="A18:A20"/>
    <mergeCell ref="B18:B20"/>
    <mergeCell ref="C18:H18"/>
    <mergeCell ref="I18:N18"/>
    <mergeCell ref="O18:T18"/>
    <mergeCell ref="X18:X20"/>
    <mergeCell ref="A16:B16"/>
    <mergeCell ref="A30:B30"/>
    <mergeCell ref="U32:W33"/>
    <mergeCell ref="U18:W19"/>
    <mergeCell ref="C19:H19"/>
    <mergeCell ref="I19:N19"/>
    <mergeCell ref="O19:T19"/>
    <mergeCell ref="A31:W31"/>
    <mergeCell ref="A32:A34"/>
    <mergeCell ref="B32:B34"/>
    <mergeCell ref="C32:H32"/>
    <mergeCell ref="I32:N32"/>
    <mergeCell ref="O32:T32"/>
    <mergeCell ref="C33:H33"/>
    <mergeCell ref="I33:N33"/>
  </mergeCells>
  <printOptions horizontalCentered="1"/>
  <pageMargins left="1.2204724409448819" right="0.23622047244094491" top="0.47244094488188981" bottom="0.1968503937007874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"/>
  <sheetViews>
    <sheetView workbookViewId="0">
      <selection activeCell="AF11" sqref="AF11"/>
    </sheetView>
  </sheetViews>
  <sheetFormatPr defaultRowHeight="14.4" x14ac:dyDescent="0.3"/>
  <cols>
    <col min="1" max="1" width="3.109375" style="5" customWidth="1"/>
    <col min="2" max="2" width="13.5546875" style="4" bestFit="1" customWidth="1"/>
    <col min="3" max="19" width="5.77734375" style="5" customWidth="1"/>
    <col min="20" max="20" width="5.77734375" style="4" customWidth="1"/>
    <col min="21" max="22" width="8.88671875" style="4"/>
    <col min="23" max="23" width="36.44140625" style="4" bestFit="1" customWidth="1"/>
    <col min="24" max="27" width="8.88671875" style="4"/>
    <col min="28" max="28" width="35.109375" style="4" bestFit="1" customWidth="1"/>
    <col min="29" max="30" width="8.88671875" style="4"/>
    <col min="31" max="31" width="36.44140625" style="4" bestFit="1" customWidth="1"/>
    <col min="32" max="35" width="8.88671875" style="4"/>
    <col min="36" max="36" width="55.109375" style="4" customWidth="1"/>
    <col min="37" max="16384" width="8.88671875" style="4"/>
  </cols>
  <sheetData>
    <row r="1" spans="1:36" ht="15" customHeight="1" x14ac:dyDescent="0.3">
      <c r="A1" s="114" t="s">
        <v>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36" ht="15" thickBot="1" x14ac:dyDescent="0.35">
      <c r="A2" s="101" t="s">
        <v>44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36" ht="15" customHeight="1" x14ac:dyDescent="0.3">
      <c r="A3" s="113" t="s">
        <v>10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W3" s="95" t="s">
        <v>88</v>
      </c>
      <c r="X3" s="96"/>
      <c r="Y3" s="96"/>
      <c r="Z3" s="96"/>
      <c r="AA3" s="96"/>
      <c r="AB3" s="97"/>
      <c r="AE3" s="95" t="s">
        <v>89</v>
      </c>
      <c r="AF3" s="96"/>
      <c r="AG3" s="96"/>
      <c r="AH3" s="96"/>
      <c r="AI3" s="96"/>
      <c r="AJ3" s="97"/>
    </row>
    <row r="4" spans="1:36" ht="13.2" customHeight="1" x14ac:dyDescent="0.3">
      <c r="A4" s="77" t="s">
        <v>0</v>
      </c>
      <c r="B4" s="110" t="s">
        <v>40</v>
      </c>
      <c r="C4" s="83" t="s">
        <v>6</v>
      </c>
      <c r="D4" s="84"/>
      <c r="E4" s="84"/>
      <c r="F4" s="84"/>
      <c r="G4" s="84"/>
      <c r="H4" s="85"/>
      <c r="I4" s="83" t="s">
        <v>87</v>
      </c>
      <c r="J4" s="84"/>
      <c r="K4" s="84"/>
      <c r="L4" s="84"/>
      <c r="M4" s="84"/>
      <c r="N4" s="85"/>
      <c r="O4" s="83" t="s">
        <v>6</v>
      </c>
      <c r="P4" s="84"/>
      <c r="Q4" s="84"/>
      <c r="R4" s="84"/>
      <c r="S4" s="84"/>
      <c r="T4" s="85"/>
      <c r="W4" s="38"/>
      <c r="AB4" s="39"/>
      <c r="AE4" s="38"/>
      <c r="AJ4" s="39"/>
    </row>
    <row r="5" spans="1:36" ht="12.9" customHeight="1" x14ac:dyDescent="0.3">
      <c r="A5" s="78"/>
      <c r="B5" s="111"/>
      <c r="C5" s="88" t="s">
        <v>27</v>
      </c>
      <c r="D5" s="89"/>
      <c r="E5" s="89"/>
      <c r="F5" s="89"/>
      <c r="G5" s="89"/>
      <c r="H5" s="90"/>
      <c r="I5" s="88" t="s">
        <v>28</v>
      </c>
      <c r="J5" s="89"/>
      <c r="K5" s="89"/>
      <c r="L5" s="89"/>
      <c r="M5" s="89"/>
      <c r="N5" s="90"/>
      <c r="O5" s="88" t="s">
        <v>29</v>
      </c>
      <c r="P5" s="89"/>
      <c r="Q5" s="89"/>
      <c r="R5" s="89"/>
      <c r="S5" s="89"/>
      <c r="T5" s="90"/>
      <c r="W5" s="38"/>
      <c r="AB5" s="39"/>
      <c r="AE5" s="38"/>
      <c r="AJ5" s="39"/>
    </row>
    <row r="6" spans="1:36" ht="12.9" customHeight="1" x14ac:dyDescent="0.25">
      <c r="A6" s="79"/>
      <c r="B6" s="112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26" t="s">
        <v>4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26" t="s">
        <v>4</v>
      </c>
      <c r="O6" s="19">
        <v>1</v>
      </c>
      <c r="P6" s="19">
        <v>2</v>
      </c>
      <c r="Q6" s="19">
        <v>3</v>
      </c>
      <c r="R6" s="19">
        <v>4</v>
      </c>
      <c r="S6" s="19">
        <v>5</v>
      </c>
      <c r="T6" s="26" t="s">
        <v>4</v>
      </c>
      <c r="U6" s="65" t="s">
        <v>56</v>
      </c>
      <c r="W6" s="40" t="s">
        <v>57</v>
      </c>
      <c r="X6" s="9">
        <f>U16^2/27</f>
        <v>25.037037037037038</v>
      </c>
      <c r="AB6" s="39"/>
      <c r="AE6" s="40" t="s">
        <v>57</v>
      </c>
      <c r="AF6" s="9">
        <f>U30^2/27</f>
        <v>9.481481481481481</v>
      </c>
      <c r="AJ6" s="39"/>
    </row>
    <row r="7" spans="1:36" ht="12.9" customHeight="1" x14ac:dyDescent="0.25">
      <c r="A7" s="8">
        <v>1</v>
      </c>
      <c r="B7" s="9" t="s">
        <v>12</v>
      </c>
      <c r="C7" s="1">
        <v>2</v>
      </c>
      <c r="D7" s="1">
        <v>0</v>
      </c>
      <c r="E7" s="1">
        <v>2</v>
      </c>
      <c r="F7" s="1">
        <v>1</v>
      </c>
      <c r="G7" s="1">
        <v>1</v>
      </c>
      <c r="H7" s="15">
        <f>AVERAGE(C7:G7)</f>
        <v>1.2</v>
      </c>
      <c r="I7" s="1">
        <v>2</v>
      </c>
      <c r="J7" s="1">
        <v>1</v>
      </c>
      <c r="K7" s="1">
        <v>1</v>
      </c>
      <c r="L7" s="1">
        <v>0</v>
      </c>
      <c r="M7" s="1">
        <v>0</v>
      </c>
      <c r="N7" s="15">
        <f>AVERAGE(I7:M7)</f>
        <v>0.8</v>
      </c>
      <c r="O7" s="1">
        <v>1</v>
      </c>
      <c r="P7" s="1">
        <v>3</v>
      </c>
      <c r="Q7" s="1">
        <v>2</v>
      </c>
      <c r="R7" s="1">
        <v>3</v>
      </c>
      <c r="S7" s="1">
        <v>2</v>
      </c>
      <c r="T7" s="15">
        <f>AVERAGE(O7:S7)</f>
        <v>2.2000000000000002</v>
      </c>
      <c r="U7" s="119">
        <f>SUM(H7,N7,T7)</f>
        <v>4.2</v>
      </c>
      <c r="W7" s="40" t="s">
        <v>60</v>
      </c>
      <c r="X7" s="9">
        <f>SUMSQ(H7:H15,N7:N15,T7:T15)</f>
        <v>31.919999999999998</v>
      </c>
      <c r="AB7" s="39"/>
      <c r="AE7" s="40" t="s">
        <v>60</v>
      </c>
      <c r="AF7" s="9">
        <f>SUMSQ(H21:H29,N21:N29,T21:T29)</f>
        <v>12.959999999999997</v>
      </c>
      <c r="AJ7" s="39"/>
    </row>
    <row r="8" spans="1:36" ht="12.9" customHeight="1" x14ac:dyDescent="0.25">
      <c r="A8" s="8">
        <v>2</v>
      </c>
      <c r="B8" s="9" t="s">
        <v>13</v>
      </c>
      <c r="C8" s="1">
        <v>0</v>
      </c>
      <c r="D8" s="1">
        <v>3</v>
      </c>
      <c r="E8" s="1">
        <v>1</v>
      </c>
      <c r="F8" s="1">
        <v>2</v>
      </c>
      <c r="G8" s="1">
        <v>0</v>
      </c>
      <c r="H8" s="15">
        <f t="shared" ref="H8:H15" si="0">AVERAGE(C8:G8)</f>
        <v>1.2</v>
      </c>
      <c r="I8" s="1">
        <v>1</v>
      </c>
      <c r="J8" s="1">
        <v>2</v>
      </c>
      <c r="K8" s="1">
        <v>2</v>
      </c>
      <c r="L8" s="1">
        <v>1</v>
      </c>
      <c r="M8" s="1">
        <v>0</v>
      </c>
      <c r="N8" s="15">
        <f t="shared" ref="N8:N15" si="1">AVERAGE(I8:M8)</f>
        <v>1.2</v>
      </c>
      <c r="O8" s="1">
        <v>1</v>
      </c>
      <c r="P8" s="1">
        <v>3</v>
      </c>
      <c r="Q8" s="1">
        <v>0</v>
      </c>
      <c r="R8" s="1">
        <v>0</v>
      </c>
      <c r="S8" s="1">
        <v>2</v>
      </c>
      <c r="T8" s="15">
        <f t="shared" ref="T8:T15" si="2">AVERAGE(O8:S8)</f>
        <v>1.2</v>
      </c>
      <c r="U8" s="119">
        <f t="shared" ref="U8:U16" si="3">SUM(H8,N8,T8)</f>
        <v>3.5999999999999996</v>
      </c>
      <c r="W8" s="40" t="s">
        <v>61</v>
      </c>
      <c r="X8" s="9">
        <f>X7-X6</f>
        <v>6.8829629629629601</v>
      </c>
      <c r="AB8" s="39"/>
      <c r="AE8" s="40" t="s">
        <v>61</v>
      </c>
      <c r="AF8" s="9">
        <f>AF7-AF6</f>
        <v>3.4785185185185163</v>
      </c>
      <c r="AJ8" s="39"/>
    </row>
    <row r="9" spans="1:36" ht="12.9" customHeight="1" x14ac:dyDescent="0.25">
      <c r="A9" s="8">
        <v>3</v>
      </c>
      <c r="B9" s="9" t="s">
        <v>19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5">
        <f t="shared" si="0"/>
        <v>0</v>
      </c>
      <c r="I9" s="1">
        <v>2</v>
      </c>
      <c r="J9" s="1">
        <v>1</v>
      </c>
      <c r="K9" s="1">
        <v>1</v>
      </c>
      <c r="L9" s="1">
        <v>0</v>
      </c>
      <c r="M9" s="1">
        <v>1</v>
      </c>
      <c r="N9" s="15">
        <f t="shared" si="1"/>
        <v>1</v>
      </c>
      <c r="O9" s="1">
        <v>1</v>
      </c>
      <c r="P9" s="1">
        <v>2</v>
      </c>
      <c r="Q9" s="1">
        <v>3</v>
      </c>
      <c r="R9" s="1">
        <v>2</v>
      </c>
      <c r="S9" s="1">
        <v>0</v>
      </c>
      <c r="T9" s="15">
        <f t="shared" si="2"/>
        <v>1.6</v>
      </c>
      <c r="U9" s="119">
        <f t="shared" si="3"/>
        <v>2.6</v>
      </c>
      <c r="W9" s="40" t="s">
        <v>62</v>
      </c>
      <c r="X9" s="9">
        <f>(SUMSQ(H16,N16,T16)/9)-X6</f>
        <v>1.3007407407407392</v>
      </c>
      <c r="AB9" s="39"/>
      <c r="AE9" s="40" t="s">
        <v>62</v>
      </c>
      <c r="AF9" s="9">
        <f>(SUMSQ(H30,N30,T30)/9)-AF6</f>
        <v>0.10962962962963019</v>
      </c>
      <c r="AJ9" s="39"/>
    </row>
    <row r="10" spans="1:36" ht="12.9" customHeight="1" x14ac:dyDescent="0.25">
      <c r="A10" s="8">
        <v>4</v>
      </c>
      <c r="B10" s="9" t="s">
        <v>20</v>
      </c>
      <c r="C10" s="1">
        <v>2</v>
      </c>
      <c r="D10" s="1">
        <v>0</v>
      </c>
      <c r="E10" s="1">
        <v>2</v>
      </c>
      <c r="F10" s="1">
        <v>0</v>
      </c>
      <c r="G10" s="1">
        <v>0</v>
      </c>
      <c r="H10" s="15">
        <f t="shared" si="0"/>
        <v>0.8</v>
      </c>
      <c r="I10" s="1">
        <v>2</v>
      </c>
      <c r="J10" s="1">
        <v>0</v>
      </c>
      <c r="K10" s="1">
        <v>1</v>
      </c>
      <c r="L10" s="1">
        <v>0</v>
      </c>
      <c r="M10" s="1">
        <v>0</v>
      </c>
      <c r="N10" s="15">
        <f t="shared" si="1"/>
        <v>0.6</v>
      </c>
      <c r="O10" s="1">
        <v>2</v>
      </c>
      <c r="P10" s="1">
        <v>0</v>
      </c>
      <c r="Q10" s="1">
        <v>0</v>
      </c>
      <c r="R10" s="1">
        <v>1</v>
      </c>
      <c r="S10" s="1">
        <v>2</v>
      </c>
      <c r="T10" s="15">
        <f t="shared" si="2"/>
        <v>1</v>
      </c>
      <c r="U10" s="119">
        <f t="shared" si="3"/>
        <v>2.4</v>
      </c>
      <c r="W10" s="40" t="s">
        <v>58</v>
      </c>
      <c r="X10" s="9">
        <f>(SUMSQ(U7:U15)/3)-X6</f>
        <v>1.7896296296296299</v>
      </c>
      <c r="AB10" s="39"/>
      <c r="AE10" s="40" t="s">
        <v>58</v>
      </c>
      <c r="AF10" s="9">
        <f>(SUMSQ(U21:U29)/3)-AF6</f>
        <v>1.6118518518518528</v>
      </c>
      <c r="AJ10" s="39"/>
    </row>
    <row r="11" spans="1:36" ht="12.9" customHeight="1" x14ac:dyDescent="0.25">
      <c r="A11" s="8">
        <v>5</v>
      </c>
      <c r="B11" s="9" t="s">
        <v>16</v>
      </c>
      <c r="C11" s="1">
        <v>2</v>
      </c>
      <c r="D11" s="1">
        <v>1</v>
      </c>
      <c r="E11" s="1">
        <v>0</v>
      </c>
      <c r="F11" s="1">
        <v>2</v>
      </c>
      <c r="G11" s="1">
        <v>0</v>
      </c>
      <c r="H11" s="15">
        <f t="shared" si="0"/>
        <v>1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5">
        <f t="shared" si="1"/>
        <v>0.4</v>
      </c>
      <c r="O11" s="1">
        <v>0</v>
      </c>
      <c r="P11" s="1">
        <v>2</v>
      </c>
      <c r="Q11" s="1">
        <v>0</v>
      </c>
      <c r="R11" s="1">
        <v>0</v>
      </c>
      <c r="S11" s="1">
        <v>1</v>
      </c>
      <c r="T11" s="15">
        <f t="shared" si="2"/>
        <v>0.6</v>
      </c>
      <c r="U11" s="119">
        <f t="shared" si="3"/>
        <v>2</v>
      </c>
      <c r="W11" s="40" t="s">
        <v>59</v>
      </c>
      <c r="X11" s="9">
        <f>X8-X9-X10</f>
        <v>3.792592592592591</v>
      </c>
      <c r="AB11" s="39"/>
      <c r="AE11" s="40" t="s">
        <v>59</v>
      </c>
      <c r="AF11" s="9">
        <f>AF8-AF9-AF10</f>
        <v>1.7570370370370334</v>
      </c>
      <c r="AJ11" s="39"/>
    </row>
    <row r="12" spans="1:36" ht="12.9" customHeight="1" x14ac:dyDescent="0.3">
      <c r="A12" s="8">
        <v>6</v>
      </c>
      <c r="B12" s="9" t="s">
        <v>17</v>
      </c>
      <c r="C12" s="1">
        <v>1</v>
      </c>
      <c r="D12" s="1">
        <v>0</v>
      </c>
      <c r="E12" s="1">
        <v>1</v>
      </c>
      <c r="F12" s="1">
        <v>1</v>
      </c>
      <c r="G12" s="1">
        <v>1</v>
      </c>
      <c r="H12" s="15">
        <f t="shared" si="0"/>
        <v>0.8</v>
      </c>
      <c r="I12" s="1">
        <v>1</v>
      </c>
      <c r="J12" s="1">
        <v>1</v>
      </c>
      <c r="K12" s="1">
        <v>2</v>
      </c>
      <c r="L12" s="1">
        <v>2</v>
      </c>
      <c r="M12" s="1">
        <v>0</v>
      </c>
      <c r="N12" s="15">
        <f t="shared" si="1"/>
        <v>1.2</v>
      </c>
      <c r="O12" s="1">
        <v>0</v>
      </c>
      <c r="P12" s="1">
        <v>1</v>
      </c>
      <c r="Q12" s="1">
        <v>2</v>
      </c>
      <c r="R12" s="1">
        <v>0</v>
      </c>
      <c r="S12" s="1">
        <v>2</v>
      </c>
      <c r="T12" s="15">
        <f t="shared" si="2"/>
        <v>1</v>
      </c>
      <c r="U12" s="119">
        <f t="shared" si="3"/>
        <v>3</v>
      </c>
      <c r="W12" s="38"/>
      <c r="AB12" s="39"/>
      <c r="AE12" s="38"/>
      <c r="AJ12" s="39"/>
    </row>
    <row r="13" spans="1:36" ht="12.9" customHeight="1" x14ac:dyDescent="0.3">
      <c r="A13" s="8">
        <v>7</v>
      </c>
      <c r="B13" s="9" t="s">
        <v>14</v>
      </c>
      <c r="C13" s="5">
        <v>0</v>
      </c>
      <c r="D13" s="1">
        <v>1</v>
      </c>
      <c r="E13" s="1">
        <v>0</v>
      </c>
      <c r="F13" s="1">
        <v>0</v>
      </c>
      <c r="G13" s="1">
        <v>0</v>
      </c>
      <c r="H13" s="15">
        <f t="shared" si="0"/>
        <v>0.2</v>
      </c>
      <c r="I13" s="1">
        <v>0</v>
      </c>
      <c r="J13" s="1">
        <v>1</v>
      </c>
      <c r="K13" s="1">
        <v>1</v>
      </c>
      <c r="L13" s="1">
        <v>1</v>
      </c>
      <c r="M13" s="1">
        <v>1</v>
      </c>
      <c r="N13" s="15">
        <f t="shared" si="1"/>
        <v>0.8</v>
      </c>
      <c r="O13" s="1">
        <v>2</v>
      </c>
      <c r="P13" s="1">
        <v>4</v>
      </c>
      <c r="Q13" s="1">
        <v>0</v>
      </c>
      <c r="R13" s="1">
        <v>3</v>
      </c>
      <c r="S13" s="1">
        <v>2</v>
      </c>
      <c r="T13" s="15">
        <f t="shared" si="2"/>
        <v>2.2000000000000002</v>
      </c>
      <c r="U13" s="119">
        <f t="shared" si="3"/>
        <v>3.2</v>
      </c>
      <c r="W13" s="38"/>
      <c r="AB13" s="39"/>
      <c r="AE13" s="38"/>
      <c r="AJ13" s="39"/>
    </row>
    <row r="14" spans="1:36" ht="12.9" customHeight="1" x14ac:dyDescent="0.3">
      <c r="A14" s="8">
        <v>8</v>
      </c>
      <c r="B14" s="9" t="s">
        <v>15</v>
      </c>
      <c r="C14" s="5">
        <v>2</v>
      </c>
      <c r="D14" s="1">
        <v>1</v>
      </c>
      <c r="E14" s="1">
        <v>1</v>
      </c>
      <c r="F14" s="1">
        <v>2</v>
      </c>
      <c r="G14" s="1">
        <v>1</v>
      </c>
      <c r="H14" s="15">
        <f t="shared" si="0"/>
        <v>1.4</v>
      </c>
      <c r="I14" s="1">
        <v>2</v>
      </c>
      <c r="J14" s="1">
        <v>1</v>
      </c>
      <c r="K14" s="1">
        <v>0</v>
      </c>
      <c r="L14" s="1">
        <v>1</v>
      </c>
      <c r="M14" s="1">
        <v>1</v>
      </c>
      <c r="N14" s="15">
        <f t="shared" si="1"/>
        <v>1</v>
      </c>
      <c r="O14" s="1">
        <v>1</v>
      </c>
      <c r="P14" s="1">
        <v>1</v>
      </c>
      <c r="Q14" s="1">
        <v>1</v>
      </c>
      <c r="R14" s="1">
        <v>0</v>
      </c>
      <c r="S14" s="1">
        <v>2</v>
      </c>
      <c r="T14" s="15">
        <f t="shared" si="2"/>
        <v>1</v>
      </c>
      <c r="U14" s="119">
        <f t="shared" si="3"/>
        <v>3.4</v>
      </c>
      <c r="W14" s="38"/>
      <c r="AB14" s="39"/>
      <c r="AE14" s="38"/>
      <c r="AJ14" s="39"/>
    </row>
    <row r="15" spans="1:36" ht="12.9" customHeight="1" x14ac:dyDescent="0.25">
      <c r="A15" s="8">
        <v>9</v>
      </c>
      <c r="B15" s="9" t="s">
        <v>18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5">
        <f t="shared" si="0"/>
        <v>0.2</v>
      </c>
      <c r="I15" s="1">
        <v>0</v>
      </c>
      <c r="J15" s="1">
        <v>0</v>
      </c>
      <c r="K15" s="1">
        <v>2</v>
      </c>
      <c r="L15" s="1">
        <v>0</v>
      </c>
      <c r="M15" s="1">
        <v>2</v>
      </c>
      <c r="N15" s="15">
        <f t="shared" si="1"/>
        <v>0.8</v>
      </c>
      <c r="O15" s="1">
        <v>0</v>
      </c>
      <c r="P15" s="1">
        <v>0</v>
      </c>
      <c r="Q15" s="1">
        <v>1</v>
      </c>
      <c r="R15" s="1">
        <v>0</v>
      </c>
      <c r="S15" s="1">
        <v>2</v>
      </c>
      <c r="T15" s="15">
        <f t="shared" si="2"/>
        <v>0.6</v>
      </c>
      <c r="U15" s="119">
        <f t="shared" si="3"/>
        <v>1.6</v>
      </c>
      <c r="W15" s="41"/>
      <c r="X15" s="42"/>
      <c r="Y15" s="43"/>
      <c r="Z15" s="44"/>
      <c r="AB15" s="39"/>
      <c r="AE15" s="41"/>
      <c r="AF15" s="42"/>
      <c r="AG15" s="43"/>
      <c r="AH15" s="44"/>
      <c r="AJ15" s="39"/>
    </row>
    <row r="16" spans="1:36" ht="12.9" customHeight="1" x14ac:dyDescent="0.25">
      <c r="A16" s="115" t="s">
        <v>56</v>
      </c>
      <c r="B16" s="115"/>
      <c r="C16" s="63">
        <f>SUM(C7:C15)</f>
        <v>9</v>
      </c>
      <c r="D16" s="63">
        <f t="shared" ref="D16:T16" si="4">SUM(D7:D15)</f>
        <v>6</v>
      </c>
      <c r="E16" s="63">
        <f t="shared" si="4"/>
        <v>7</v>
      </c>
      <c r="F16" s="63">
        <f t="shared" si="4"/>
        <v>8</v>
      </c>
      <c r="G16" s="63">
        <f t="shared" si="4"/>
        <v>4</v>
      </c>
      <c r="H16" s="64">
        <f>SUM(H7:H15)</f>
        <v>6.8</v>
      </c>
      <c r="I16" s="63">
        <f t="shared" si="4"/>
        <v>11</v>
      </c>
      <c r="J16" s="63">
        <f t="shared" si="4"/>
        <v>7</v>
      </c>
      <c r="K16" s="63">
        <f t="shared" si="4"/>
        <v>11</v>
      </c>
      <c r="L16" s="63">
        <f t="shared" si="4"/>
        <v>5</v>
      </c>
      <c r="M16" s="63">
        <f t="shared" si="4"/>
        <v>5</v>
      </c>
      <c r="N16" s="63">
        <f t="shared" si="4"/>
        <v>7.8</v>
      </c>
      <c r="O16" s="63">
        <f t="shared" si="4"/>
        <v>8</v>
      </c>
      <c r="P16" s="63">
        <f t="shared" si="4"/>
        <v>16</v>
      </c>
      <c r="Q16" s="63">
        <f t="shared" si="4"/>
        <v>9</v>
      </c>
      <c r="R16" s="63">
        <f t="shared" si="4"/>
        <v>9</v>
      </c>
      <c r="S16" s="63">
        <f t="shared" si="4"/>
        <v>15</v>
      </c>
      <c r="T16" s="63">
        <f t="shared" si="4"/>
        <v>11.4</v>
      </c>
      <c r="U16" s="119">
        <f>SUM(H16,N16,T16)</f>
        <v>26</v>
      </c>
      <c r="W16" s="41"/>
      <c r="X16" s="42"/>
      <c r="Y16" s="43"/>
      <c r="Z16" s="44"/>
      <c r="AA16" s="66"/>
      <c r="AB16" s="67"/>
      <c r="AE16" s="41"/>
      <c r="AF16" s="42"/>
      <c r="AG16" s="43"/>
      <c r="AH16" s="44"/>
      <c r="AI16" s="66"/>
      <c r="AJ16" s="67"/>
    </row>
    <row r="17" spans="1:36" ht="12.9" customHeight="1" x14ac:dyDescent="0.25">
      <c r="A17" s="69" t="s">
        <v>11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W17" s="41"/>
      <c r="X17" s="42"/>
      <c r="Y17" s="43"/>
      <c r="Z17" s="44"/>
      <c r="AA17" s="93" t="s">
        <v>63</v>
      </c>
      <c r="AB17" s="94"/>
      <c r="AE17" s="41"/>
      <c r="AF17" s="42"/>
      <c r="AG17" s="43"/>
      <c r="AH17" s="44"/>
      <c r="AI17" s="93" t="s">
        <v>63</v>
      </c>
      <c r="AJ17" s="94"/>
    </row>
    <row r="18" spans="1:36" ht="12" customHeight="1" x14ac:dyDescent="0.25">
      <c r="A18" s="77" t="s">
        <v>0</v>
      </c>
      <c r="B18" s="110" t="s">
        <v>40</v>
      </c>
      <c r="C18" s="83" t="s">
        <v>6</v>
      </c>
      <c r="D18" s="84"/>
      <c r="E18" s="84"/>
      <c r="F18" s="84"/>
      <c r="G18" s="84"/>
      <c r="H18" s="85"/>
      <c r="I18" s="83" t="s">
        <v>6</v>
      </c>
      <c r="J18" s="84"/>
      <c r="K18" s="84"/>
      <c r="L18" s="84"/>
      <c r="M18" s="84"/>
      <c r="N18" s="85"/>
      <c r="O18" s="83" t="s">
        <v>6</v>
      </c>
      <c r="P18" s="84"/>
      <c r="Q18" s="84"/>
      <c r="R18" s="84"/>
      <c r="S18" s="84"/>
      <c r="T18" s="85"/>
      <c r="W18" s="45" t="s">
        <v>64</v>
      </c>
      <c r="X18" s="32" t="s">
        <v>65</v>
      </c>
      <c r="Y18" s="33" t="s">
        <v>66</v>
      </c>
      <c r="Z18" s="34" t="s">
        <v>67</v>
      </c>
      <c r="AA18" s="33" t="s">
        <v>68</v>
      </c>
      <c r="AB18" s="46" t="s">
        <v>69</v>
      </c>
      <c r="AE18" s="45" t="s">
        <v>64</v>
      </c>
      <c r="AF18" s="32" t="s">
        <v>65</v>
      </c>
      <c r="AG18" s="33" t="s">
        <v>66</v>
      </c>
      <c r="AH18" s="34" t="s">
        <v>67</v>
      </c>
      <c r="AI18" s="33" t="s">
        <v>68</v>
      </c>
      <c r="AJ18" s="46" t="s">
        <v>69</v>
      </c>
    </row>
    <row r="19" spans="1:36" ht="12.9" customHeight="1" x14ac:dyDescent="0.25">
      <c r="A19" s="78"/>
      <c r="B19" s="111"/>
      <c r="C19" s="88" t="s">
        <v>27</v>
      </c>
      <c r="D19" s="89"/>
      <c r="E19" s="89"/>
      <c r="F19" s="89"/>
      <c r="G19" s="89"/>
      <c r="H19" s="90"/>
      <c r="I19" s="88" t="s">
        <v>28</v>
      </c>
      <c r="J19" s="89"/>
      <c r="K19" s="89"/>
      <c r="L19" s="89"/>
      <c r="M19" s="89"/>
      <c r="N19" s="90"/>
      <c r="O19" s="88" t="s">
        <v>29</v>
      </c>
      <c r="P19" s="89"/>
      <c r="Q19" s="89"/>
      <c r="R19" s="89"/>
      <c r="S19" s="89"/>
      <c r="T19" s="90"/>
      <c r="W19" s="47" t="s">
        <v>70</v>
      </c>
      <c r="X19" s="35">
        <f>3-1</f>
        <v>2</v>
      </c>
      <c r="Y19" s="36">
        <f>X9</f>
        <v>1.3007407407407392</v>
      </c>
      <c r="Z19" s="37">
        <f>Y19/X19</f>
        <v>0.6503703703703696</v>
      </c>
      <c r="AA19" s="36">
        <f>Z19/Z21</f>
        <v>2.7437499999999981</v>
      </c>
      <c r="AB19" s="48">
        <v>3.63</v>
      </c>
      <c r="AE19" s="47" t="s">
        <v>70</v>
      </c>
      <c r="AF19" s="35">
        <f>3-1</f>
        <v>2</v>
      </c>
      <c r="AG19" s="36">
        <f>AF9</f>
        <v>0.10962962962963019</v>
      </c>
      <c r="AH19" s="37">
        <f>AG19/AF19</f>
        <v>5.4814814814815094E-2</v>
      </c>
      <c r="AI19" s="36">
        <f>AH19/AH21</f>
        <v>0.49915682967959885</v>
      </c>
      <c r="AJ19" s="48">
        <v>3.63</v>
      </c>
    </row>
    <row r="20" spans="1:36" ht="12.9" customHeight="1" x14ac:dyDescent="0.25">
      <c r="A20" s="79"/>
      <c r="B20" s="112"/>
      <c r="C20" s="1">
        <v>1</v>
      </c>
      <c r="D20" s="1">
        <v>2</v>
      </c>
      <c r="E20" s="1">
        <v>3</v>
      </c>
      <c r="F20" s="1">
        <v>4</v>
      </c>
      <c r="G20" s="1">
        <v>5</v>
      </c>
      <c r="H20" s="14" t="s">
        <v>4</v>
      </c>
      <c r="I20" s="1">
        <v>1</v>
      </c>
      <c r="J20" s="1">
        <v>2</v>
      </c>
      <c r="K20" s="1">
        <v>3</v>
      </c>
      <c r="L20" s="1">
        <v>4</v>
      </c>
      <c r="M20" s="1">
        <v>5</v>
      </c>
      <c r="N20" s="14" t="s">
        <v>4</v>
      </c>
      <c r="O20" s="1">
        <v>1</v>
      </c>
      <c r="P20" s="1">
        <v>2</v>
      </c>
      <c r="Q20" s="1">
        <v>3</v>
      </c>
      <c r="R20" s="1">
        <v>4</v>
      </c>
      <c r="S20" s="1">
        <v>5</v>
      </c>
      <c r="T20" s="14" t="s">
        <v>4</v>
      </c>
      <c r="U20" s="65" t="s">
        <v>56</v>
      </c>
      <c r="W20" s="47" t="s">
        <v>71</v>
      </c>
      <c r="X20" s="35">
        <f>9-1</f>
        <v>8</v>
      </c>
      <c r="Y20" s="36">
        <f>X10</f>
        <v>1.7896296296296299</v>
      </c>
      <c r="Z20" s="37">
        <f>Y20/X20</f>
        <v>0.22370370370370374</v>
      </c>
      <c r="AA20" s="36">
        <f>Z20/Z21</f>
        <v>0.94375000000000053</v>
      </c>
      <c r="AB20" s="48">
        <v>2.59</v>
      </c>
      <c r="AE20" s="47" t="s">
        <v>71</v>
      </c>
      <c r="AF20" s="35">
        <f>9-1</f>
        <v>8</v>
      </c>
      <c r="AG20" s="36">
        <f>AF10</f>
        <v>1.6118518518518528</v>
      </c>
      <c r="AH20" s="37">
        <f>AG20/AF20</f>
        <v>0.20148148148148159</v>
      </c>
      <c r="AI20" s="36">
        <f>AH20/AH21</f>
        <v>1.8347386172006794</v>
      </c>
      <c r="AJ20" s="48">
        <v>2.59</v>
      </c>
    </row>
    <row r="21" spans="1:36" ht="12.9" customHeight="1" x14ac:dyDescent="0.25">
      <c r="A21" s="8">
        <v>1</v>
      </c>
      <c r="B21" s="9" t="s">
        <v>12</v>
      </c>
      <c r="C21" s="27">
        <v>1</v>
      </c>
      <c r="D21" s="27">
        <v>0</v>
      </c>
      <c r="E21" s="27">
        <v>0</v>
      </c>
      <c r="F21" s="27">
        <v>0</v>
      </c>
      <c r="G21" s="27">
        <v>1</v>
      </c>
      <c r="H21" s="15">
        <f>AVERAGE(C21:G21)</f>
        <v>0.4</v>
      </c>
      <c r="I21" s="27">
        <v>1</v>
      </c>
      <c r="J21" s="27">
        <v>0</v>
      </c>
      <c r="K21" s="27">
        <v>1</v>
      </c>
      <c r="L21" s="27">
        <v>0</v>
      </c>
      <c r="M21" s="27">
        <v>2</v>
      </c>
      <c r="N21" s="15">
        <f>AVERAGE(I21:M21)</f>
        <v>0.8</v>
      </c>
      <c r="O21" s="27">
        <v>0</v>
      </c>
      <c r="P21" s="27">
        <v>1</v>
      </c>
      <c r="Q21" s="27">
        <v>1</v>
      </c>
      <c r="R21" s="27">
        <v>0</v>
      </c>
      <c r="S21" s="27">
        <v>0</v>
      </c>
      <c r="T21" s="15">
        <f>AVERAGE(O21:S21)</f>
        <v>0.4</v>
      </c>
      <c r="U21" s="119">
        <f>SUM(H21,N21,T21)</f>
        <v>1.6</v>
      </c>
      <c r="W21" s="47" t="s">
        <v>72</v>
      </c>
      <c r="X21" s="35">
        <f>(9-1)*(3-1)</f>
        <v>16</v>
      </c>
      <c r="Y21" s="36">
        <f>X11</f>
        <v>3.792592592592591</v>
      </c>
      <c r="Z21" s="44">
        <f>Y21/X21</f>
        <v>0.23703703703703694</v>
      </c>
      <c r="AA21" s="43"/>
      <c r="AB21" s="49"/>
      <c r="AE21" s="47" t="s">
        <v>72</v>
      </c>
      <c r="AF21" s="35">
        <f>(9-1)*(3-1)</f>
        <v>16</v>
      </c>
      <c r="AG21" s="36">
        <f>AF11</f>
        <v>1.7570370370370334</v>
      </c>
      <c r="AH21" s="44">
        <f>AG21/AF21</f>
        <v>0.10981481481481459</v>
      </c>
      <c r="AI21" s="43"/>
      <c r="AJ21" s="49"/>
    </row>
    <row r="22" spans="1:36" ht="12.9" customHeight="1" x14ac:dyDescent="0.25">
      <c r="A22" s="8">
        <v>2</v>
      </c>
      <c r="B22" s="9" t="s">
        <v>13</v>
      </c>
      <c r="C22" s="27">
        <v>0</v>
      </c>
      <c r="D22" s="27">
        <v>0</v>
      </c>
      <c r="E22" s="27">
        <v>1</v>
      </c>
      <c r="F22" s="27">
        <v>0</v>
      </c>
      <c r="G22" s="27">
        <v>3</v>
      </c>
      <c r="H22" s="15">
        <f t="shared" ref="H22:H29" si="5">AVERAGE(C22:G22)</f>
        <v>0.8</v>
      </c>
      <c r="I22" s="27">
        <v>0</v>
      </c>
      <c r="J22" s="27">
        <v>0</v>
      </c>
      <c r="K22" s="27">
        <v>0</v>
      </c>
      <c r="L22" s="27">
        <v>0</v>
      </c>
      <c r="M22" s="27">
        <v>1</v>
      </c>
      <c r="N22" s="15">
        <f t="shared" ref="N22:N29" si="6">AVERAGE(I22:M22)</f>
        <v>0.2</v>
      </c>
      <c r="O22" s="27">
        <v>0</v>
      </c>
      <c r="P22" s="27">
        <v>0</v>
      </c>
      <c r="Q22" s="27">
        <v>0</v>
      </c>
      <c r="R22" s="27">
        <v>1</v>
      </c>
      <c r="S22" s="27">
        <v>0</v>
      </c>
      <c r="T22" s="15">
        <f t="shared" ref="T22:T29" si="7">AVERAGE(O22:S22)</f>
        <v>0.2</v>
      </c>
      <c r="U22" s="119">
        <f t="shared" ref="U22:U29" si="8">SUM(H22,N22,T22)</f>
        <v>1.2</v>
      </c>
      <c r="W22" s="50" t="s">
        <v>56</v>
      </c>
      <c r="X22" s="32">
        <f>9*3-1</f>
        <v>26</v>
      </c>
      <c r="Y22" s="33">
        <f>X8</f>
        <v>6.8829629629629601</v>
      </c>
      <c r="Z22" s="44"/>
      <c r="AA22" s="43"/>
      <c r="AB22" s="49"/>
      <c r="AE22" s="50" t="s">
        <v>56</v>
      </c>
      <c r="AF22" s="32">
        <f>9*3-1</f>
        <v>26</v>
      </c>
      <c r="AG22" s="33">
        <f>AF8</f>
        <v>3.4785185185185163</v>
      </c>
      <c r="AH22" s="44"/>
      <c r="AI22" s="43"/>
      <c r="AJ22" s="49"/>
    </row>
    <row r="23" spans="1:36" ht="12.9" customHeight="1" x14ac:dyDescent="0.3">
      <c r="A23" s="8">
        <v>3</v>
      </c>
      <c r="B23" s="9" t="s">
        <v>19</v>
      </c>
      <c r="C23" s="27">
        <v>0</v>
      </c>
      <c r="D23" s="27">
        <v>0</v>
      </c>
      <c r="E23" s="27">
        <v>1</v>
      </c>
      <c r="F23" s="27">
        <v>1</v>
      </c>
      <c r="G23" s="27">
        <v>0</v>
      </c>
      <c r="H23" s="15">
        <f t="shared" si="5"/>
        <v>0.4</v>
      </c>
      <c r="I23" s="27">
        <v>1</v>
      </c>
      <c r="J23" s="27">
        <v>0</v>
      </c>
      <c r="K23" s="27">
        <v>0</v>
      </c>
      <c r="L23" s="27">
        <v>0</v>
      </c>
      <c r="M23" s="27">
        <v>1</v>
      </c>
      <c r="N23" s="15">
        <f t="shared" si="6"/>
        <v>0.4</v>
      </c>
      <c r="O23" s="27">
        <v>0</v>
      </c>
      <c r="P23" s="27">
        <v>0</v>
      </c>
      <c r="Q23" s="27">
        <v>0</v>
      </c>
      <c r="R23" s="27">
        <v>0</v>
      </c>
      <c r="S23" s="27">
        <v>1</v>
      </c>
      <c r="T23" s="15">
        <f t="shared" si="7"/>
        <v>0.2</v>
      </c>
      <c r="U23" s="119">
        <f t="shared" si="8"/>
        <v>1</v>
      </c>
      <c r="W23" s="38"/>
      <c r="AB23" s="39"/>
      <c r="AE23" s="38"/>
      <c r="AJ23" s="39"/>
    </row>
    <row r="24" spans="1:36" ht="12.9" customHeight="1" x14ac:dyDescent="0.25">
      <c r="A24" s="8">
        <v>4</v>
      </c>
      <c r="B24" s="9" t="s">
        <v>20</v>
      </c>
      <c r="C24" s="27">
        <v>0</v>
      </c>
      <c r="D24" s="27">
        <v>0</v>
      </c>
      <c r="E24" s="27">
        <v>2</v>
      </c>
      <c r="F24" s="27">
        <v>0</v>
      </c>
      <c r="G24" s="27">
        <v>0</v>
      </c>
      <c r="H24" s="15">
        <f t="shared" si="5"/>
        <v>0.4</v>
      </c>
      <c r="I24" s="27">
        <v>0</v>
      </c>
      <c r="J24" s="27">
        <v>2</v>
      </c>
      <c r="K24" s="27">
        <v>0</v>
      </c>
      <c r="L24" s="27">
        <v>0</v>
      </c>
      <c r="M24" s="27">
        <v>2</v>
      </c>
      <c r="N24" s="15">
        <f t="shared" si="6"/>
        <v>0.8</v>
      </c>
      <c r="O24" s="27">
        <v>2</v>
      </c>
      <c r="P24" s="27">
        <v>2</v>
      </c>
      <c r="Q24" s="27">
        <v>1</v>
      </c>
      <c r="R24" s="27">
        <v>0</v>
      </c>
      <c r="S24" s="27">
        <v>0</v>
      </c>
      <c r="T24" s="15">
        <f t="shared" si="7"/>
        <v>1</v>
      </c>
      <c r="U24" s="119">
        <f t="shared" si="8"/>
        <v>2.2000000000000002</v>
      </c>
      <c r="W24" s="51"/>
      <c r="X24" s="52" t="s">
        <v>73</v>
      </c>
      <c r="Y24" s="42">
        <f>SQRT((2*Z21)/3)</f>
        <v>0.39752319599996255</v>
      </c>
      <c r="Z24" s="42"/>
      <c r="AA24" s="53"/>
      <c r="AB24" s="39"/>
      <c r="AE24" s="51"/>
      <c r="AF24" s="52" t="s">
        <v>73</v>
      </c>
      <c r="AG24" s="42">
        <f>SQRT((2*AH21)/3)</f>
        <v>0.27057323693079793</v>
      </c>
      <c r="AH24" s="42"/>
      <c r="AI24" s="53"/>
      <c r="AJ24" s="39"/>
    </row>
    <row r="25" spans="1:36" ht="12.9" customHeight="1" x14ac:dyDescent="0.25">
      <c r="A25" s="8">
        <v>5</v>
      </c>
      <c r="B25" s="9" t="s">
        <v>16</v>
      </c>
      <c r="C25" s="27">
        <v>2</v>
      </c>
      <c r="D25" s="27">
        <v>2</v>
      </c>
      <c r="E25" s="27">
        <v>1</v>
      </c>
      <c r="F25" s="27">
        <v>2</v>
      </c>
      <c r="G25" s="27">
        <v>0</v>
      </c>
      <c r="H25" s="15">
        <f t="shared" si="5"/>
        <v>1.4</v>
      </c>
      <c r="I25" s="27">
        <v>3</v>
      </c>
      <c r="J25" s="27">
        <v>0</v>
      </c>
      <c r="K25" s="27">
        <v>0</v>
      </c>
      <c r="L25" s="27">
        <v>1</v>
      </c>
      <c r="M25" s="27">
        <v>1</v>
      </c>
      <c r="N25" s="15">
        <f t="shared" si="6"/>
        <v>1</v>
      </c>
      <c r="O25" s="27">
        <v>1</v>
      </c>
      <c r="P25" s="27">
        <v>3</v>
      </c>
      <c r="Q25" s="27">
        <v>1</v>
      </c>
      <c r="R25" s="27">
        <v>0</v>
      </c>
      <c r="S25" s="27">
        <v>0</v>
      </c>
      <c r="T25" s="15">
        <f t="shared" si="7"/>
        <v>1</v>
      </c>
      <c r="U25" s="119">
        <f t="shared" si="8"/>
        <v>3.4</v>
      </c>
      <c r="W25" s="51"/>
      <c r="X25" s="42" t="s">
        <v>74</v>
      </c>
      <c r="Y25" s="42"/>
      <c r="Z25" s="42"/>
      <c r="AA25" s="53"/>
      <c r="AB25" s="39"/>
      <c r="AE25" s="51"/>
      <c r="AF25" s="42" t="s">
        <v>74</v>
      </c>
      <c r="AG25" s="42"/>
      <c r="AH25" s="42"/>
      <c r="AI25" s="53"/>
      <c r="AJ25" s="39"/>
    </row>
    <row r="26" spans="1:36" ht="12.9" customHeight="1" x14ac:dyDescent="0.25">
      <c r="A26" s="8">
        <v>6</v>
      </c>
      <c r="B26" s="9" t="s">
        <v>17</v>
      </c>
      <c r="C26" s="27">
        <v>1</v>
      </c>
      <c r="D26" s="27">
        <v>1</v>
      </c>
      <c r="E26" s="27">
        <v>0</v>
      </c>
      <c r="F26" s="27">
        <v>0</v>
      </c>
      <c r="G26" s="27">
        <v>0</v>
      </c>
      <c r="H26" s="15">
        <f t="shared" si="5"/>
        <v>0.4</v>
      </c>
      <c r="I26" s="27">
        <v>0</v>
      </c>
      <c r="J26" s="27">
        <v>0</v>
      </c>
      <c r="K26" s="27">
        <v>0</v>
      </c>
      <c r="L26" s="27">
        <v>0</v>
      </c>
      <c r="M26" s="27">
        <v>2</v>
      </c>
      <c r="N26" s="15">
        <f t="shared" si="6"/>
        <v>0.4</v>
      </c>
      <c r="O26" s="27">
        <v>0</v>
      </c>
      <c r="P26" s="27">
        <v>0</v>
      </c>
      <c r="Q26" s="27">
        <v>2</v>
      </c>
      <c r="R26" s="27">
        <v>0</v>
      </c>
      <c r="S26" s="27">
        <v>0</v>
      </c>
      <c r="T26" s="15">
        <f t="shared" si="7"/>
        <v>0.4</v>
      </c>
      <c r="U26" s="119">
        <f t="shared" si="8"/>
        <v>1.2000000000000002</v>
      </c>
      <c r="W26" s="54"/>
      <c r="X26" s="5" t="s">
        <v>75</v>
      </c>
      <c r="Y26" s="55">
        <f>2.12*Y24</f>
        <v>0.84274917551992068</v>
      </c>
      <c r="Z26" s="56" t="s">
        <v>76</v>
      </c>
      <c r="AA26" s="57"/>
      <c r="AB26" s="39"/>
      <c r="AE26" s="54"/>
      <c r="AF26" s="5" t="s">
        <v>75</v>
      </c>
      <c r="AG26" s="55">
        <f>2.12*AG24</f>
        <v>0.57361526229329163</v>
      </c>
      <c r="AH26" s="56" t="s">
        <v>76</v>
      </c>
      <c r="AI26" s="57"/>
      <c r="AJ26" s="39"/>
    </row>
    <row r="27" spans="1:36" ht="12.9" customHeight="1" x14ac:dyDescent="0.25">
      <c r="A27" s="8">
        <v>7</v>
      </c>
      <c r="B27" s="9" t="s">
        <v>14</v>
      </c>
      <c r="C27" s="27">
        <v>0</v>
      </c>
      <c r="D27" s="27">
        <v>0</v>
      </c>
      <c r="E27" s="27">
        <v>1</v>
      </c>
      <c r="F27" s="27">
        <v>0</v>
      </c>
      <c r="G27" s="27">
        <v>0</v>
      </c>
      <c r="H27" s="15">
        <f t="shared" si="5"/>
        <v>0.2</v>
      </c>
      <c r="I27" s="27">
        <v>2</v>
      </c>
      <c r="J27" s="27">
        <v>1</v>
      </c>
      <c r="K27" s="27">
        <v>0</v>
      </c>
      <c r="L27" s="27">
        <v>0</v>
      </c>
      <c r="M27" s="27">
        <v>0</v>
      </c>
      <c r="N27" s="15">
        <f t="shared" si="6"/>
        <v>0.6</v>
      </c>
      <c r="O27" s="27">
        <v>1</v>
      </c>
      <c r="P27" s="27">
        <v>0</v>
      </c>
      <c r="Q27" s="27">
        <v>0</v>
      </c>
      <c r="R27" s="27">
        <v>1</v>
      </c>
      <c r="S27" s="27">
        <v>0</v>
      </c>
      <c r="T27" s="15">
        <f t="shared" si="7"/>
        <v>0.4</v>
      </c>
      <c r="U27" s="119">
        <f t="shared" si="8"/>
        <v>1.2000000000000002</v>
      </c>
      <c r="W27" s="54" t="s">
        <v>77</v>
      </c>
      <c r="X27" s="42" t="s">
        <v>78</v>
      </c>
      <c r="Y27" s="42"/>
      <c r="Z27" s="42"/>
      <c r="AA27" s="57" t="s">
        <v>79</v>
      </c>
      <c r="AB27" s="49" t="s">
        <v>81</v>
      </c>
      <c r="AE27" s="54" t="s">
        <v>77</v>
      </c>
      <c r="AF27" s="42" t="s">
        <v>78</v>
      </c>
      <c r="AG27" s="42"/>
      <c r="AH27" s="42"/>
      <c r="AI27" s="57" t="s">
        <v>79</v>
      </c>
      <c r="AJ27" s="49" t="s">
        <v>81</v>
      </c>
    </row>
    <row r="28" spans="1:36" ht="12.9" customHeight="1" thickBot="1" x14ac:dyDescent="0.3">
      <c r="A28" s="8">
        <v>8</v>
      </c>
      <c r="B28" s="9" t="s">
        <v>15</v>
      </c>
      <c r="C28" s="27">
        <v>1</v>
      </c>
      <c r="D28" s="27">
        <v>0</v>
      </c>
      <c r="E28" s="27">
        <v>4</v>
      </c>
      <c r="F28" s="27">
        <v>1</v>
      </c>
      <c r="G28" s="27">
        <v>2</v>
      </c>
      <c r="H28" s="15">
        <f t="shared" si="5"/>
        <v>1.6</v>
      </c>
      <c r="I28" s="27">
        <v>0</v>
      </c>
      <c r="J28" s="27">
        <v>0</v>
      </c>
      <c r="K28" s="27">
        <v>1</v>
      </c>
      <c r="L28" s="27">
        <v>1</v>
      </c>
      <c r="M28" s="27">
        <v>1</v>
      </c>
      <c r="N28" s="15">
        <f t="shared" si="6"/>
        <v>0.6</v>
      </c>
      <c r="O28" s="27">
        <v>0</v>
      </c>
      <c r="P28" s="27">
        <v>0</v>
      </c>
      <c r="Q28" s="27">
        <v>0</v>
      </c>
      <c r="R28" s="27">
        <v>0</v>
      </c>
      <c r="S28" s="27">
        <v>1</v>
      </c>
      <c r="T28" s="15">
        <f t="shared" si="7"/>
        <v>0.2</v>
      </c>
      <c r="U28" s="119">
        <f t="shared" si="8"/>
        <v>2.4000000000000004</v>
      </c>
      <c r="W28" s="58"/>
      <c r="X28" s="59"/>
      <c r="Y28" s="60" t="s">
        <v>80</v>
      </c>
      <c r="Z28" s="59"/>
      <c r="AA28" s="60"/>
      <c r="AB28" s="61"/>
      <c r="AE28" s="58"/>
      <c r="AF28" s="59"/>
      <c r="AG28" s="60" t="s">
        <v>80</v>
      </c>
      <c r="AH28" s="59"/>
      <c r="AI28" s="60"/>
      <c r="AJ28" s="61"/>
    </row>
    <row r="29" spans="1:36" ht="12.9" customHeight="1" x14ac:dyDescent="0.3">
      <c r="A29" s="8">
        <v>9</v>
      </c>
      <c r="B29" s="9" t="s">
        <v>18</v>
      </c>
      <c r="C29" s="27">
        <v>0</v>
      </c>
      <c r="D29" s="27">
        <v>1</v>
      </c>
      <c r="E29" s="27">
        <v>0</v>
      </c>
      <c r="F29" s="27">
        <v>1</v>
      </c>
      <c r="G29" s="27">
        <v>0</v>
      </c>
      <c r="H29" s="15">
        <f t="shared" si="5"/>
        <v>0.4</v>
      </c>
      <c r="I29" s="27">
        <v>0</v>
      </c>
      <c r="J29" s="27">
        <v>1</v>
      </c>
      <c r="K29" s="27">
        <v>2</v>
      </c>
      <c r="L29" s="27">
        <v>0</v>
      </c>
      <c r="M29" s="27">
        <v>0</v>
      </c>
      <c r="N29" s="15">
        <f t="shared" si="6"/>
        <v>0.6</v>
      </c>
      <c r="O29" s="27">
        <v>2</v>
      </c>
      <c r="P29" s="27">
        <v>2</v>
      </c>
      <c r="Q29" s="27">
        <v>0</v>
      </c>
      <c r="R29" s="27">
        <v>0</v>
      </c>
      <c r="S29" s="27">
        <v>0</v>
      </c>
      <c r="T29" s="15">
        <f t="shared" si="7"/>
        <v>0.8</v>
      </c>
      <c r="U29" s="119">
        <f t="shared" si="8"/>
        <v>1.8</v>
      </c>
    </row>
    <row r="30" spans="1:36" ht="12.9" customHeight="1" x14ac:dyDescent="0.3">
      <c r="A30" s="115" t="s">
        <v>56</v>
      </c>
      <c r="B30" s="115"/>
      <c r="C30" s="64">
        <f>SUM(C21:C29)</f>
        <v>5</v>
      </c>
      <c r="D30" s="64">
        <f t="shared" ref="D30:T30" si="9">SUM(D21:D29)</f>
        <v>4</v>
      </c>
      <c r="E30" s="64">
        <f t="shared" si="9"/>
        <v>10</v>
      </c>
      <c r="F30" s="64">
        <f t="shared" si="9"/>
        <v>5</v>
      </c>
      <c r="G30" s="64">
        <f t="shared" si="9"/>
        <v>6</v>
      </c>
      <c r="H30" s="64">
        <f t="shared" si="9"/>
        <v>6</v>
      </c>
      <c r="I30" s="64">
        <f t="shared" si="9"/>
        <v>7</v>
      </c>
      <c r="J30" s="64">
        <f t="shared" si="9"/>
        <v>4</v>
      </c>
      <c r="K30" s="64">
        <f t="shared" si="9"/>
        <v>4</v>
      </c>
      <c r="L30" s="64">
        <f t="shared" si="9"/>
        <v>2</v>
      </c>
      <c r="M30" s="64">
        <f t="shared" si="9"/>
        <v>10</v>
      </c>
      <c r="N30" s="64">
        <f t="shared" si="9"/>
        <v>5.3999999999999995</v>
      </c>
      <c r="O30" s="64">
        <f t="shared" si="9"/>
        <v>6</v>
      </c>
      <c r="P30" s="64">
        <f t="shared" si="9"/>
        <v>8</v>
      </c>
      <c r="Q30" s="64">
        <f t="shared" si="9"/>
        <v>5</v>
      </c>
      <c r="R30" s="64">
        <f t="shared" si="9"/>
        <v>2</v>
      </c>
      <c r="S30" s="64">
        <f t="shared" si="9"/>
        <v>2</v>
      </c>
      <c r="T30" s="64">
        <f>SUM(T21:T29)</f>
        <v>4.5999999999999996</v>
      </c>
      <c r="U30" s="64">
        <f>SUM(U21:U29)</f>
        <v>16</v>
      </c>
    </row>
    <row r="31" spans="1:36" ht="12.9" customHeight="1" x14ac:dyDescent="0.3">
      <c r="A31" s="69" t="s">
        <v>5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</row>
    <row r="32" spans="1:36" ht="12.9" customHeight="1" x14ac:dyDescent="0.3">
      <c r="A32" s="77" t="s">
        <v>0</v>
      </c>
      <c r="B32" s="110" t="s">
        <v>40</v>
      </c>
      <c r="C32" s="83" t="s">
        <v>6</v>
      </c>
      <c r="D32" s="84"/>
      <c r="E32" s="84"/>
      <c r="F32" s="84"/>
      <c r="G32" s="84"/>
      <c r="H32" s="85"/>
      <c r="I32" s="83" t="s">
        <v>6</v>
      </c>
      <c r="J32" s="84"/>
      <c r="K32" s="84"/>
      <c r="L32" s="84"/>
      <c r="M32" s="84"/>
      <c r="N32" s="85"/>
      <c r="O32" s="83" t="s">
        <v>6</v>
      </c>
      <c r="P32" s="84"/>
      <c r="Q32" s="84"/>
      <c r="R32" s="84"/>
      <c r="S32" s="84"/>
      <c r="T32" s="85"/>
    </row>
    <row r="33" spans="1:20" ht="12.9" customHeight="1" x14ac:dyDescent="0.3">
      <c r="A33" s="78"/>
      <c r="B33" s="111"/>
      <c r="C33" s="88" t="s">
        <v>27</v>
      </c>
      <c r="D33" s="89"/>
      <c r="E33" s="89"/>
      <c r="F33" s="89"/>
      <c r="G33" s="89"/>
      <c r="H33" s="90"/>
      <c r="I33" s="88" t="s">
        <v>28</v>
      </c>
      <c r="J33" s="89"/>
      <c r="K33" s="89"/>
      <c r="L33" s="89"/>
      <c r="M33" s="89"/>
      <c r="N33" s="90"/>
      <c r="O33" s="88" t="s">
        <v>29</v>
      </c>
      <c r="P33" s="89"/>
      <c r="Q33" s="89"/>
      <c r="R33" s="89"/>
      <c r="S33" s="89"/>
      <c r="T33" s="90"/>
    </row>
    <row r="34" spans="1:20" ht="12.9" customHeight="1" x14ac:dyDescent="0.3">
      <c r="A34" s="79"/>
      <c r="B34" s="112"/>
      <c r="C34" s="1">
        <v>1</v>
      </c>
      <c r="D34" s="1">
        <v>2</v>
      </c>
      <c r="E34" s="1">
        <v>3</v>
      </c>
      <c r="F34" s="1">
        <v>4</v>
      </c>
      <c r="G34" s="1">
        <v>5</v>
      </c>
      <c r="H34" s="14" t="s">
        <v>4</v>
      </c>
      <c r="I34" s="1">
        <v>1</v>
      </c>
      <c r="J34" s="1">
        <v>2</v>
      </c>
      <c r="K34" s="1">
        <v>3</v>
      </c>
      <c r="L34" s="1">
        <v>4</v>
      </c>
      <c r="M34" s="1">
        <v>5</v>
      </c>
      <c r="N34" s="14" t="s">
        <v>4</v>
      </c>
      <c r="O34" s="1">
        <v>1</v>
      </c>
      <c r="P34" s="1">
        <v>2</v>
      </c>
      <c r="Q34" s="1">
        <v>3</v>
      </c>
      <c r="R34" s="1">
        <v>4</v>
      </c>
      <c r="S34" s="1">
        <v>5</v>
      </c>
      <c r="T34" s="14" t="s">
        <v>4</v>
      </c>
    </row>
    <row r="35" spans="1:20" ht="12.9" customHeight="1" x14ac:dyDescent="0.3">
      <c r="A35" s="8">
        <v>1</v>
      </c>
      <c r="B35" s="9" t="s">
        <v>12</v>
      </c>
      <c r="C35" s="1"/>
      <c r="D35" s="1"/>
      <c r="E35" s="1"/>
      <c r="F35" s="1"/>
      <c r="G35" s="1"/>
      <c r="H35" s="15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5"/>
    </row>
    <row r="36" spans="1:20" ht="12.9" customHeight="1" x14ac:dyDescent="0.3">
      <c r="A36" s="8">
        <v>2</v>
      </c>
      <c r="B36" s="9" t="s">
        <v>13</v>
      </c>
      <c r="C36" s="1"/>
      <c r="D36" s="1"/>
      <c r="E36" s="1"/>
      <c r="F36" s="1"/>
      <c r="G36" s="1"/>
      <c r="H36" s="15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5"/>
    </row>
    <row r="37" spans="1:20" ht="12.9" customHeight="1" x14ac:dyDescent="0.3">
      <c r="A37" s="8">
        <v>3</v>
      </c>
      <c r="B37" s="9" t="s">
        <v>19</v>
      </c>
      <c r="C37" s="1"/>
      <c r="D37" s="1"/>
      <c r="E37" s="1"/>
      <c r="F37" s="1"/>
      <c r="G37" s="1"/>
      <c r="H37" s="15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5"/>
    </row>
    <row r="38" spans="1:20" ht="12.9" customHeight="1" x14ac:dyDescent="0.3">
      <c r="A38" s="8">
        <v>4</v>
      </c>
      <c r="B38" s="9" t="s">
        <v>20</v>
      </c>
      <c r="C38" s="1"/>
      <c r="D38" s="1"/>
      <c r="E38" s="1"/>
      <c r="F38" s="1"/>
      <c r="G38" s="1"/>
      <c r="H38" s="15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5"/>
    </row>
    <row r="39" spans="1:20" ht="12.9" customHeight="1" x14ac:dyDescent="0.3">
      <c r="A39" s="8">
        <v>5</v>
      </c>
      <c r="B39" s="9" t="s">
        <v>16</v>
      </c>
      <c r="C39" s="1"/>
      <c r="D39" s="1"/>
      <c r="E39" s="1"/>
      <c r="F39" s="1"/>
      <c r="G39" s="1"/>
      <c r="H39" s="15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5"/>
    </row>
    <row r="40" spans="1:20" ht="12.9" customHeight="1" x14ac:dyDescent="0.3">
      <c r="A40" s="8">
        <v>6</v>
      </c>
      <c r="B40" s="9" t="s">
        <v>17</v>
      </c>
      <c r="C40" s="1"/>
      <c r="D40" s="1"/>
      <c r="E40" s="1"/>
      <c r="F40" s="1"/>
      <c r="G40" s="1"/>
      <c r="H40" s="15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5"/>
    </row>
    <row r="41" spans="1:20" ht="12.9" customHeight="1" x14ac:dyDescent="0.3">
      <c r="A41" s="8">
        <v>7</v>
      </c>
      <c r="B41" s="9" t="s">
        <v>14</v>
      </c>
      <c r="C41" s="1"/>
      <c r="D41" s="1"/>
      <c r="E41" s="1"/>
      <c r="F41" s="1"/>
      <c r="G41" s="1"/>
      <c r="H41" s="15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5"/>
    </row>
    <row r="42" spans="1:20" ht="12.9" customHeight="1" x14ac:dyDescent="0.3">
      <c r="A42" s="8">
        <v>8</v>
      </c>
      <c r="B42" s="9" t="s">
        <v>15</v>
      </c>
      <c r="C42" s="1"/>
      <c r="D42" s="1"/>
      <c r="E42" s="1"/>
      <c r="F42" s="1"/>
      <c r="G42" s="1"/>
      <c r="H42" s="15"/>
      <c r="I42" s="1"/>
      <c r="J42" s="1"/>
      <c r="K42" s="1"/>
      <c r="L42" s="1"/>
      <c r="M42" s="1"/>
      <c r="N42" s="15"/>
      <c r="O42" s="1"/>
      <c r="P42" s="1"/>
      <c r="Q42" s="1"/>
      <c r="R42" s="1"/>
      <c r="S42" s="1"/>
      <c r="T42" s="15"/>
    </row>
    <row r="43" spans="1:20" x14ac:dyDescent="0.3">
      <c r="A43" s="8">
        <v>9</v>
      </c>
      <c r="B43" s="9" t="s">
        <v>18</v>
      </c>
      <c r="C43" s="1"/>
      <c r="D43" s="1"/>
      <c r="E43" s="1"/>
      <c r="F43" s="1"/>
      <c r="G43" s="1"/>
      <c r="H43" s="15"/>
      <c r="I43" s="1"/>
      <c r="J43" s="1"/>
      <c r="K43" s="1"/>
      <c r="L43" s="1"/>
      <c r="M43" s="1"/>
      <c r="N43" s="15"/>
      <c r="O43" s="1"/>
      <c r="P43" s="1"/>
      <c r="Q43" s="1"/>
      <c r="R43" s="1"/>
      <c r="S43" s="1"/>
      <c r="T43" s="15"/>
    </row>
    <row r="56" spans="3:19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3:19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3:19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3:19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3:19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3:19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3:19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</sheetData>
  <mergeCells count="35">
    <mergeCell ref="W3:AB3"/>
    <mergeCell ref="AA17:AB17"/>
    <mergeCell ref="A16:B16"/>
    <mergeCell ref="A30:B30"/>
    <mergeCell ref="AE3:AJ3"/>
    <mergeCell ref="AI17:AJ17"/>
    <mergeCell ref="A1:T1"/>
    <mergeCell ref="C19:H19"/>
    <mergeCell ref="C18:H18"/>
    <mergeCell ref="C4:H4"/>
    <mergeCell ref="C5:H5"/>
    <mergeCell ref="B4:B6"/>
    <mergeCell ref="A4:A6"/>
    <mergeCell ref="A18:A20"/>
    <mergeCell ref="B18:B20"/>
    <mergeCell ref="I4:N4"/>
    <mergeCell ref="I5:N5"/>
    <mergeCell ref="I19:N19"/>
    <mergeCell ref="O4:T4"/>
    <mergeCell ref="O5:T5"/>
    <mergeCell ref="O18:T18"/>
    <mergeCell ref="O19:T19"/>
    <mergeCell ref="A2:T2"/>
    <mergeCell ref="A3:T3"/>
    <mergeCell ref="A17:T17"/>
    <mergeCell ref="A31:T31"/>
    <mergeCell ref="A32:A34"/>
    <mergeCell ref="B32:B34"/>
    <mergeCell ref="C32:H32"/>
    <mergeCell ref="C33:H33"/>
    <mergeCell ref="I32:N32"/>
    <mergeCell ref="I33:N33"/>
    <mergeCell ref="O32:T32"/>
    <mergeCell ref="O33:T33"/>
    <mergeCell ref="I18:N18"/>
  </mergeCells>
  <printOptions horizontalCentered="1"/>
  <pageMargins left="1.4173228346456694" right="0.23622047244094491" top="0.47244094488188981" bottom="0.1968503937007874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638D-2BD6-4BCF-B2EA-8C61AFACE4EA}">
  <dimension ref="A1:AD61"/>
  <sheetViews>
    <sheetView zoomScaleNormal="100" workbookViewId="0">
      <selection activeCell="AB19" sqref="AB19"/>
    </sheetView>
  </sheetViews>
  <sheetFormatPr defaultRowHeight="14.4" x14ac:dyDescent="0.3"/>
  <cols>
    <col min="1" max="1" width="3.109375" style="5" customWidth="1"/>
    <col min="2" max="2" width="13.5546875" style="4" bestFit="1" customWidth="1"/>
    <col min="3" max="19" width="5.77734375" style="5" customWidth="1"/>
    <col min="20" max="20" width="5.77734375" style="4" customWidth="1"/>
    <col min="21" max="21" width="6" style="4" bestFit="1" customWidth="1"/>
    <col min="22" max="24" width="8.88671875" style="4"/>
    <col min="25" max="25" width="36.44140625" style="4" bestFit="1" customWidth="1"/>
    <col min="26" max="16384" width="8.88671875" style="4"/>
  </cols>
  <sheetData>
    <row r="1" spans="1:30" ht="15" customHeight="1" thickBot="1" x14ac:dyDescent="0.35">
      <c r="A1" s="114" t="s">
        <v>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30" ht="18" x14ac:dyDescent="0.3">
      <c r="A2" s="101" t="s">
        <v>44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Y2" s="95" t="s">
        <v>90</v>
      </c>
      <c r="Z2" s="96"/>
      <c r="AA2" s="96"/>
      <c r="AB2" s="96"/>
      <c r="AC2" s="96"/>
      <c r="AD2" s="97"/>
    </row>
    <row r="3" spans="1:30" ht="15" customHeight="1" x14ac:dyDescent="0.3">
      <c r="A3" s="99" t="s">
        <v>32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Y3" s="38"/>
      <c r="AD3" s="39"/>
    </row>
    <row r="4" spans="1:30" ht="13.2" customHeight="1" x14ac:dyDescent="0.3">
      <c r="A4" s="77" t="s">
        <v>0</v>
      </c>
      <c r="B4" s="110" t="s">
        <v>40</v>
      </c>
      <c r="C4" s="83" t="s">
        <v>9</v>
      </c>
      <c r="D4" s="84"/>
      <c r="E4" s="84"/>
      <c r="F4" s="84"/>
      <c r="G4" s="84"/>
      <c r="H4" s="85"/>
      <c r="I4" s="83" t="s">
        <v>9</v>
      </c>
      <c r="J4" s="84"/>
      <c r="K4" s="84"/>
      <c r="L4" s="84"/>
      <c r="M4" s="84"/>
      <c r="N4" s="85"/>
      <c r="O4" s="83" t="s">
        <v>9</v>
      </c>
      <c r="P4" s="84"/>
      <c r="Q4" s="84"/>
      <c r="R4" s="84"/>
      <c r="S4" s="84"/>
      <c r="T4" s="85"/>
      <c r="Y4" s="38"/>
      <c r="AD4" s="39"/>
    </row>
    <row r="5" spans="1:30" ht="12.9" customHeight="1" x14ac:dyDescent="0.25">
      <c r="A5" s="78"/>
      <c r="B5" s="111"/>
      <c r="C5" s="88" t="s">
        <v>27</v>
      </c>
      <c r="D5" s="89"/>
      <c r="E5" s="89"/>
      <c r="F5" s="89"/>
      <c r="G5" s="89"/>
      <c r="H5" s="90"/>
      <c r="I5" s="88" t="s">
        <v>28</v>
      </c>
      <c r="J5" s="89"/>
      <c r="K5" s="89"/>
      <c r="L5" s="89"/>
      <c r="M5" s="89"/>
      <c r="N5" s="90"/>
      <c r="O5" s="88" t="s">
        <v>29</v>
      </c>
      <c r="P5" s="89"/>
      <c r="Q5" s="89"/>
      <c r="R5" s="89"/>
      <c r="S5" s="89"/>
      <c r="T5" s="90"/>
      <c r="Y5" s="40" t="s">
        <v>57</v>
      </c>
      <c r="Z5" s="9">
        <f>U16^2/27</f>
        <v>12.268148148148146</v>
      </c>
      <c r="AD5" s="39"/>
    </row>
    <row r="6" spans="1:30" ht="12.9" customHeight="1" x14ac:dyDescent="0.25">
      <c r="A6" s="79"/>
      <c r="B6" s="112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26" t="s">
        <v>4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26" t="s">
        <v>4</v>
      </c>
      <c r="O6" s="19">
        <v>1</v>
      </c>
      <c r="P6" s="19">
        <v>2</v>
      </c>
      <c r="Q6" s="19">
        <v>3</v>
      </c>
      <c r="R6" s="19">
        <v>4</v>
      </c>
      <c r="S6" s="19">
        <v>5</v>
      </c>
      <c r="T6" s="26" t="s">
        <v>4</v>
      </c>
      <c r="U6" s="63" t="s">
        <v>56</v>
      </c>
      <c r="Y6" s="40" t="s">
        <v>60</v>
      </c>
      <c r="Z6" s="9">
        <f>SUMSQ(H7:H15,N7:N15,T7:T15)</f>
        <v>20.04</v>
      </c>
      <c r="AD6" s="39"/>
    </row>
    <row r="7" spans="1:30" ht="12.9" customHeight="1" x14ac:dyDescent="0.25">
      <c r="A7" s="8">
        <v>1</v>
      </c>
      <c r="B7" s="9" t="s">
        <v>12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5">
        <f>AVERAGE(C7:G7)</f>
        <v>0.2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5">
        <f t="shared" ref="N7:N15" si="0">AVERAGE(I7:M7)</f>
        <v>0</v>
      </c>
      <c r="O7" s="1">
        <v>3</v>
      </c>
      <c r="P7" s="1">
        <v>0</v>
      </c>
      <c r="Q7" s="1">
        <v>2</v>
      </c>
      <c r="R7" s="1">
        <v>2</v>
      </c>
      <c r="S7" s="1">
        <v>0</v>
      </c>
      <c r="T7" s="15">
        <f>AVERAGE(O7:S7)</f>
        <v>1.4</v>
      </c>
      <c r="U7" s="119">
        <f>SUM(H7,N7,T7)</f>
        <v>1.5999999999999999</v>
      </c>
      <c r="Y7" s="40" t="s">
        <v>61</v>
      </c>
      <c r="Z7" s="9">
        <f>Z6-Z5</f>
        <v>7.7718518518518529</v>
      </c>
      <c r="AD7" s="39"/>
    </row>
    <row r="8" spans="1:30" ht="12.9" customHeight="1" x14ac:dyDescent="0.25">
      <c r="A8" s="8">
        <v>2</v>
      </c>
      <c r="B8" s="9" t="s">
        <v>13</v>
      </c>
      <c r="C8" s="1">
        <v>0</v>
      </c>
      <c r="D8" s="1">
        <v>2</v>
      </c>
      <c r="E8" s="1">
        <v>2</v>
      </c>
      <c r="F8" s="1">
        <v>0</v>
      </c>
      <c r="G8" s="1">
        <v>0</v>
      </c>
      <c r="H8" s="15">
        <f t="shared" ref="H8:H15" si="1">AVERAGE(C8:G8)</f>
        <v>0.8</v>
      </c>
      <c r="I8" s="1">
        <v>0</v>
      </c>
      <c r="J8" s="1">
        <v>0</v>
      </c>
      <c r="K8" s="1">
        <v>1</v>
      </c>
      <c r="L8" s="1">
        <v>1</v>
      </c>
      <c r="M8" s="1">
        <v>0</v>
      </c>
      <c r="N8" s="15">
        <f t="shared" si="0"/>
        <v>0.4</v>
      </c>
      <c r="O8" s="1">
        <v>2</v>
      </c>
      <c r="P8" s="1">
        <v>0</v>
      </c>
      <c r="Q8" s="1">
        <v>0</v>
      </c>
      <c r="R8" s="1">
        <v>0</v>
      </c>
      <c r="S8" s="1">
        <v>2</v>
      </c>
      <c r="T8" s="15">
        <f t="shared" ref="T7:T15" si="2">AVERAGE(O8:S8)</f>
        <v>0.8</v>
      </c>
      <c r="U8" s="119">
        <f t="shared" ref="U8:U16" si="3">SUM(H8,N8,T8)</f>
        <v>2</v>
      </c>
      <c r="Y8" s="40" t="s">
        <v>62</v>
      </c>
      <c r="Z8" s="9">
        <f>(SUMSQ(H16,N16,T16)/9)-Z5</f>
        <v>2.1451851851851842</v>
      </c>
      <c r="AD8" s="39"/>
    </row>
    <row r="9" spans="1:30" ht="12.9" customHeight="1" x14ac:dyDescent="0.25">
      <c r="A9" s="8">
        <v>3</v>
      </c>
      <c r="B9" s="9" t="s">
        <v>19</v>
      </c>
      <c r="C9" s="1">
        <v>0</v>
      </c>
      <c r="D9" s="1">
        <v>2</v>
      </c>
      <c r="E9" s="1">
        <v>2</v>
      </c>
      <c r="F9" s="1">
        <v>3</v>
      </c>
      <c r="G9" s="1">
        <v>0</v>
      </c>
      <c r="H9" s="15">
        <f t="shared" si="1"/>
        <v>1.4</v>
      </c>
      <c r="I9" s="1">
        <v>3</v>
      </c>
      <c r="J9" s="1">
        <v>1</v>
      </c>
      <c r="K9" s="1">
        <v>0</v>
      </c>
      <c r="L9" s="1">
        <v>0</v>
      </c>
      <c r="M9" s="1">
        <v>0</v>
      </c>
      <c r="N9" s="15">
        <f t="shared" si="0"/>
        <v>0.8</v>
      </c>
      <c r="O9" s="1">
        <v>2</v>
      </c>
      <c r="P9" s="1">
        <v>0</v>
      </c>
      <c r="Q9" s="1">
        <v>4</v>
      </c>
      <c r="R9" s="1">
        <v>1</v>
      </c>
      <c r="S9" s="1">
        <v>3</v>
      </c>
      <c r="T9" s="15">
        <f t="shared" si="2"/>
        <v>2</v>
      </c>
      <c r="U9" s="119">
        <f t="shared" si="3"/>
        <v>4.2</v>
      </c>
      <c r="Y9" s="40" t="s">
        <v>58</v>
      </c>
      <c r="Z9" s="9">
        <f>(SUMSQ(U7:U15)/3)-Z5</f>
        <v>2.1185185185185187</v>
      </c>
      <c r="AD9" s="39"/>
    </row>
    <row r="10" spans="1:30" ht="12.9" customHeight="1" x14ac:dyDescent="0.25">
      <c r="A10" s="8">
        <v>4</v>
      </c>
      <c r="B10" s="9" t="s">
        <v>20</v>
      </c>
      <c r="C10" s="1">
        <v>0</v>
      </c>
      <c r="D10" s="1">
        <v>2</v>
      </c>
      <c r="E10" s="1">
        <v>0</v>
      </c>
      <c r="F10" s="1">
        <v>2</v>
      </c>
      <c r="G10" s="1">
        <v>1</v>
      </c>
      <c r="H10" s="15">
        <f t="shared" si="1"/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5">
        <f t="shared" si="0"/>
        <v>0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5">
        <f t="shared" si="2"/>
        <v>0.2</v>
      </c>
      <c r="U10" s="119">
        <f t="shared" si="3"/>
        <v>1.2</v>
      </c>
      <c r="Y10" s="40" t="s">
        <v>59</v>
      </c>
      <c r="Z10" s="9">
        <f>Z7-Z8-Z9</f>
        <v>3.50814814814815</v>
      </c>
      <c r="AD10" s="39"/>
    </row>
    <row r="11" spans="1:30" ht="12.9" customHeight="1" x14ac:dyDescent="0.3">
      <c r="A11" s="8">
        <v>5</v>
      </c>
      <c r="B11" s="9" t="s">
        <v>16</v>
      </c>
      <c r="C11" s="1">
        <v>1</v>
      </c>
      <c r="D11" s="1">
        <v>0</v>
      </c>
      <c r="E11" s="1">
        <v>3</v>
      </c>
      <c r="F11" s="1">
        <v>0</v>
      </c>
      <c r="G11" s="1">
        <v>3</v>
      </c>
      <c r="H11" s="15">
        <f t="shared" si="1"/>
        <v>1.4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5">
        <f t="shared" si="0"/>
        <v>0.4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5">
        <f t="shared" si="2"/>
        <v>0</v>
      </c>
      <c r="U11" s="119">
        <f t="shared" si="3"/>
        <v>1.7999999999999998</v>
      </c>
      <c r="Y11" s="38"/>
      <c r="AD11" s="39"/>
    </row>
    <row r="12" spans="1:30" ht="12.9" customHeight="1" x14ac:dyDescent="0.3">
      <c r="A12" s="8">
        <v>6</v>
      </c>
      <c r="B12" s="9" t="s">
        <v>17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5">
        <f t="shared" si="1"/>
        <v>0.2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5">
        <f t="shared" si="0"/>
        <v>0.2</v>
      </c>
      <c r="O12" s="1">
        <v>1</v>
      </c>
      <c r="P12" s="1">
        <v>0</v>
      </c>
      <c r="Q12" s="1">
        <v>2</v>
      </c>
      <c r="R12" s="1">
        <v>2</v>
      </c>
      <c r="S12" s="1">
        <v>3</v>
      </c>
      <c r="T12" s="15">
        <f t="shared" si="2"/>
        <v>1.6</v>
      </c>
      <c r="U12" s="119">
        <f t="shared" si="3"/>
        <v>2</v>
      </c>
      <c r="Y12" s="38"/>
      <c r="AD12" s="39"/>
    </row>
    <row r="13" spans="1:30" ht="12.9" customHeight="1" x14ac:dyDescent="0.3">
      <c r="A13" s="8">
        <v>7</v>
      </c>
      <c r="B13" s="9" t="s">
        <v>14</v>
      </c>
      <c r="C13" s="5">
        <v>0</v>
      </c>
      <c r="D13" s="1">
        <v>1</v>
      </c>
      <c r="E13" s="1">
        <v>0</v>
      </c>
      <c r="F13" s="1">
        <v>1</v>
      </c>
      <c r="G13" s="1">
        <v>1</v>
      </c>
      <c r="H13" s="15">
        <f t="shared" si="1"/>
        <v>0.6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5">
        <f t="shared" si="0"/>
        <v>0.4</v>
      </c>
      <c r="O13" s="1">
        <v>2</v>
      </c>
      <c r="P13" s="1">
        <v>0</v>
      </c>
      <c r="Q13" s="1">
        <v>3</v>
      </c>
      <c r="R13" s="1">
        <v>0</v>
      </c>
      <c r="S13" s="1">
        <v>0</v>
      </c>
      <c r="T13" s="15">
        <f t="shared" si="2"/>
        <v>1</v>
      </c>
      <c r="U13" s="119">
        <f t="shared" si="3"/>
        <v>2</v>
      </c>
      <c r="Y13" s="38"/>
      <c r="AD13" s="39"/>
    </row>
    <row r="14" spans="1:30" ht="12.9" customHeight="1" x14ac:dyDescent="0.25">
      <c r="A14" s="8">
        <v>8</v>
      </c>
      <c r="B14" s="9" t="s">
        <v>15</v>
      </c>
      <c r="C14" s="5">
        <v>0</v>
      </c>
      <c r="D14" s="1">
        <v>0</v>
      </c>
      <c r="E14" s="1">
        <v>1</v>
      </c>
      <c r="F14" s="1">
        <v>1</v>
      </c>
      <c r="G14" s="1">
        <v>1</v>
      </c>
      <c r="H14" s="15">
        <f t="shared" si="1"/>
        <v>0.6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5">
        <f t="shared" si="0"/>
        <v>0.2</v>
      </c>
      <c r="O14" s="1">
        <v>0</v>
      </c>
      <c r="P14" s="1">
        <v>1</v>
      </c>
      <c r="Q14" s="1">
        <v>0</v>
      </c>
      <c r="R14" s="1">
        <v>0</v>
      </c>
      <c r="S14" s="1">
        <v>1</v>
      </c>
      <c r="T14" s="15">
        <f t="shared" si="2"/>
        <v>0.4</v>
      </c>
      <c r="U14" s="119">
        <f t="shared" si="3"/>
        <v>1.2000000000000002</v>
      </c>
      <c r="Y14" s="41"/>
      <c r="Z14" s="42"/>
      <c r="AA14" s="43"/>
      <c r="AB14" s="44"/>
      <c r="AD14" s="39"/>
    </row>
    <row r="15" spans="1:30" ht="12.9" customHeight="1" x14ac:dyDescent="0.25">
      <c r="A15" s="8">
        <v>9</v>
      </c>
      <c r="B15" s="9" t="s">
        <v>18</v>
      </c>
      <c r="C15" s="1">
        <v>2</v>
      </c>
      <c r="D15" s="1">
        <v>1</v>
      </c>
      <c r="E15" s="1">
        <v>0</v>
      </c>
      <c r="F15" s="1">
        <v>0</v>
      </c>
      <c r="G15" s="1">
        <v>1</v>
      </c>
      <c r="H15" s="15">
        <f t="shared" si="1"/>
        <v>0.8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5">
        <f t="shared" si="0"/>
        <v>0.2</v>
      </c>
      <c r="O15" s="1">
        <v>1</v>
      </c>
      <c r="P15" s="1">
        <v>1</v>
      </c>
      <c r="Q15" s="1">
        <v>0</v>
      </c>
      <c r="R15" s="1">
        <v>2</v>
      </c>
      <c r="S15" s="1">
        <v>2</v>
      </c>
      <c r="T15" s="15">
        <f t="shared" si="2"/>
        <v>1.2</v>
      </c>
      <c r="U15" s="119">
        <f t="shared" si="3"/>
        <v>2.2000000000000002</v>
      </c>
      <c r="Y15" s="41"/>
      <c r="Z15" s="42"/>
      <c r="AA15" s="43"/>
      <c r="AB15" s="44"/>
      <c r="AC15" s="66"/>
      <c r="AD15" s="67"/>
    </row>
    <row r="16" spans="1:30" ht="12.9" customHeight="1" x14ac:dyDescent="0.25">
      <c r="A16" s="115" t="s">
        <v>56</v>
      </c>
      <c r="B16" s="115"/>
      <c r="C16" s="63">
        <f>SUM(C7:C15)</f>
        <v>3</v>
      </c>
      <c r="D16" s="63">
        <f t="shared" ref="D16:U16" si="4">SUM(D7:D15)</f>
        <v>9</v>
      </c>
      <c r="E16" s="63">
        <f t="shared" si="4"/>
        <v>8</v>
      </c>
      <c r="F16" s="63">
        <f t="shared" si="4"/>
        <v>7</v>
      </c>
      <c r="G16" s="63">
        <f t="shared" si="4"/>
        <v>8</v>
      </c>
      <c r="H16" s="63">
        <f t="shared" si="4"/>
        <v>6.9999999999999991</v>
      </c>
      <c r="I16" s="63">
        <f t="shared" si="4"/>
        <v>5</v>
      </c>
      <c r="J16" s="63">
        <f t="shared" si="4"/>
        <v>2</v>
      </c>
      <c r="K16" s="63">
        <f t="shared" si="4"/>
        <v>2</v>
      </c>
      <c r="L16" s="63">
        <f t="shared" si="4"/>
        <v>3</v>
      </c>
      <c r="M16" s="63">
        <f t="shared" si="4"/>
        <v>1</v>
      </c>
      <c r="N16" s="63">
        <f t="shared" si="4"/>
        <v>2.6000000000000005</v>
      </c>
      <c r="O16" s="63">
        <f t="shared" si="4"/>
        <v>11</v>
      </c>
      <c r="P16" s="63">
        <f t="shared" si="4"/>
        <v>2</v>
      </c>
      <c r="Q16" s="63">
        <f t="shared" si="4"/>
        <v>11</v>
      </c>
      <c r="R16" s="63">
        <f t="shared" si="4"/>
        <v>8</v>
      </c>
      <c r="S16" s="63">
        <f t="shared" si="4"/>
        <v>11</v>
      </c>
      <c r="T16" s="63">
        <f t="shared" si="4"/>
        <v>8.6</v>
      </c>
      <c r="U16" s="63">
        <f t="shared" si="4"/>
        <v>18.2</v>
      </c>
      <c r="Y16" s="41"/>
      <c r="Z16" s="42"/>
      <c r="AA16" s="43"/>
      <c r="AB16" s="44"/>
      <c r="AC16" s="93" t="s">
        <v>63</v>
      </c>
      <c r="AD16" s="94"/>
    </row>
    <row r="17" spans="1:30" ht="12.9" customHeight="1" x14ac:dyDescent="0.25">
      <c r="A17" s="69" t="s">
        <v>33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Y17" s="45" t="s">
        <v>64</v>
      </c>
      <c r="Z17" s="32" t="s">
        <v>65</v>
      </c>
      <c r="AA17" s="33" t="s">
        <v>66</v>
      </c>
      <c r="AB17" s="34" t="s">
        <v>67</v>
      </c>
      <c r="AC17" s="33" t="s">
        <v>68</v>
      </c>
      <c r="AD17" s="46" t="s">
        <v>69</v>
      </c>
    </row>
    <row r="18" spans="1:30" ht="12" customHeight="1" x14ac:dyDescent="0.25">
      <c r="A18" s="77" t="s">
        <v>0</v>
      </c>
      <c r="B18" s="110" t="s">
        <v>40</v>
      </c>
      <c r="C18" s="83" t="s">
        <v>9</v>
      </c>
      <c r="D18" s="84"/>
      <c r="E18" s="84"/>
      <c r="F18" s="84"/>
      <c r="G18" s="84"/>
      <c r="H18" s="85"/>
      <c r="I18" s="83" t="s">
        <v>9</v>
      </c>
      <c r="J18" s="84"/>
      <c r="K18" s="84"/>
      <c r="L18" s="84"/>
      <c r="M18" s="84"/>
      <c r="N18" s="85"/>
      <c r="O18" s="83" t="s">
        <v>9</v>
      </c>
      <c r="P18" s="84"/>
      <c r="Q18" s="84"/>
      <c r="R18" s="84"/>
      <c r="S18" s="84"/>
      <c r="T18" s="85"/>
      <c r="Y18" s="47" t="s">
        <v>70</v>
      </c>
      <c r="Z18" s="35">
        <f>3-1</f>
        <v>2</v>
      </c>
      <c r="AA18" s="36">
        <f>Z8</f>
        <v>2.1451851851851842</v>
      </c>
      <c r="AB18" s="37">
        <f>AA18/Z18</f>
        <v>1.0725925925925921</v>
      </c>
      <c r="AC18" s="36">
        <f>AB18/AB20</f>
        <v>4.8918918918918868</v>
      </c>
      <c r="AD18" s="48">
        <v>3.63</v>
      </c>
    </row>
    <row r="19" spans="1:30" ht="12.9" customHeight="1" x14ac:dyDescent="0.25">
      <c r="A19" s="78"/>
      <c r="B19" s="111"/>
      <c r="C19" s="88" t="s">
        <v>27</v>
      </c>
      <c r="D19" s="89"/>
      <c r="E19" s="89"/>
      <c r="F19" s="89"/>
      <c r="G19" s="89"/>
      <c r="H19" s="90"/>
      <c r="I19" s="88" t="s">
        <v>28</v>
      </c>
      <c r="J19" s="89"/>
      <c r="K19" s="89"/>
      <c r="L19" s="89"/>
      <c r="M19" s="89"/>
      <c r="N19" s="90"/>
      <c r="O19" s="88" t="s">
        <v>29</v>
      </c>
      <c r="P19" s="89"/>
      <c r="Q19" s="89"/>
      <c r="R19" s="89"/>
      <c r="S19" s="89"/>
      <c r="T19" s="90"/>
      <c r="Y19" s="47" t="s">
        <v>71</v>
      </c>
      <c r="Z19" s="35">
        <f>9-1</f>
        <v>8</v>
      </c>
      <c r="AA19" s="36">
        <f>Z9</f>
        <v>2.1185185185185187</v>
      </c>
      <c r="AB19" s="37">
        <f>AA19/Z19</f>
        <v>0.26481481481481484</v>
      </c>
      <c r="AC19" s="36">
        <f>AB19/AB20</f>
        <v>1.2077702702702697</v>
      </c>
      <c r="AD19" s="48">
        <v>2.59</v>
      </c>
    </row>
    <row r="20" spans="1:30" ht="12.9" customHeight="1" x14ac:dyDescent="0.25">
      <c r="A20" s="79"/>
      <c r="B20" s="112"/>
      <c r="C20" s="1">
        <v>1</v>
      </c>
      <c r="D20" s="1">
        <v>2</v>
      </c>
      <c r="E20" s="1">
        <v>3</v>
      </c>
      <c r="F20" s="1">
        <v>4</v>
      </c>
      <c r="G20" s="1">
        <v>5</v>
      </c>
      <c r="H20" s="14" t="s">
        <v>4</v>
      </c>
      <c r="I20" s="1">
        <v>1</v>
      </c>
      <c r="J20" s="1">
        <v>2</v>
      </c>
      <c r="K20" s="1">
        <v>3</v>
      </c>
      <c r="L20" s="1">
        <v>4</v>
      </c>
      <c r="M20" s="1">
        <v>5</v>
      </c>
      <c r="N20" s="14" t="s">
        <v>4</v>
      </c>
      <c r="O20" s="1">
        <v>1</v>
      </c>
      <c r="P20" s="1">
        <v>2</v>
      </c>
      <c r="Q20" s="1">
        <v>3</v>
      </c>
      <c r="R20" s="1">
        <v>4</v>
      </c>
      <c r="S20" s="1">
        <v>5</v>
      </c>
      <c r="T20" s="14" t="s">
        <v>4</v>
      </c>
      <c r="Y20" s="47" t="s">
        <v>72</v>
      </c>
      <c r="Z20" s="35">
        <f>(9-1)*(3-1)</f>
        <v>16</v>
      </c>
      <c r="AA20" s="36">
        <f>Z10</f>
        <v>3.50814814814815</v>
      </c>
      <c r="AB20" s="44">
        <f>AA20/Z20</f>
        <v>0.21925925925925938</v>
      </c>
      <c r="AC20" s="43"/>
      <c r="AD20" s="49"/>
    </row>
    <row r="21" spans="1:30" ht="12.9" customHeight="1" x14ac:dyDescent="0.25">
      <c r="A21" s="8">
        <v>1</v>
      </c>
      <c r="B21" s="9" t="s">
        <v>12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15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15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15">
        <v>0</v>
      </c>
      <c r="Y21" s="50" t="s">
        <v>56</v>
      </c>
      <c r="Z21" s="32">
        <f>9*3-1</f>
        <v>26</v>
      </c>
      <c r="AA21" s="33">
        <f>Z7</f>
        <v>7.7718518518518529</v>
      </c>
      <c r="AB21" s="44"/>
      <c r="AC21" s="43"/>
      <c r="AD21" s="49"/>
    </row>
    <row r="22" spans="1:30" ht="12.9" customHeight="1" x14ac:dyDescent="0.3">
      <c r="A22" s="8">
        <v>2</v>
      </c>
      <c r="B22" s="9" t="s">
        <v>13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15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15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15">
        <v>0</v>
      </c>
      <c r="Y22" s="38"/>
      <c r="AD22" s="39"/>
    </row>
    <row r="23" spans="1:30" ht="12.9" customHeight="1" x14ac:dyDescent="0.25">
      <c r="A23" s="8">
        <v>3</v>
      </c>
      <c r="B23" s="9" t="s">
        <v>19</v>
      </c>
      <c r="C23" s="27">
        <v>1</v>
      </c>
      <c r="D23" s="27">
        <v>0</v>
      </c>
      <c r="E23" s="27">
        <v>0</v>
      </c>
      <c r="F23" s="27">
        <v>0</v>
      </c>
      <c r="G23" s="27">
        <v>0</v>
      </c>
      <c r="H23" s="15">
        <f>AVERAGE(C23:G23)</f>
        <v>0.2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15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15">
        <v>0</v>
      </c>
      <c r="Y23" s="51"/>
      <c r="Z23" s="52" t="s">
        <v>73</v>
      </c>
      <c r="AA23" s="42">
        <f>SQRT((2*AB20)/3)</f>
        <v>0.38232556742411683</v>
      </c>
      <c r="AB23" s="42"/>
      <c r="AC23" s="53"/>
      <c r="AD23" s="39"/>
    </row>
    <row r="24" spans="1:30" ht="12.9" customHeight="1" x14ac:dyDescent="0.25">
      <c r="A24" s="8">
        <v>4</v>
      </c>
      <c r="B24" s="9" t="s">
        <v>20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15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15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15">
        <v>0</v>
      </c>
      <c r="Y24" s="51"/>
      <c r="Z24" s="42" t="s">
        <v>74</v>
      </c>
      <c r="AA24" s="42"/>
      <c r="AB24" s="42"/>
      <c r="AC24" s="53"/>
      <c r="AD24" s="39"/>
    </row>
    <row r="25" spans="1:30" ht="12.9" customHeight="1" x14ac:dyDescent="0.25">
      <c r="A25" s="8">
        <v>5</v>
      </c>
      <c r="B25" s="9" t="s">
        <v>16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15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15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15">
        <v>0</v>
      </c>
      <c r="Y25" s="54"/>
      <c r="Z25" s="5" t="s">
        <v>75</v>
      </c>
      <c r="AA25" s="55">
        <f>2.12*AA23</f>
        <v>0.8105302029391277</v>
      </c>
      <c r="AB25" s="56" t="s">
        <v>76</v>
      </c>
      <c r="AC25" s="57"/>
      <c r="AD25" s="39"/>
    </row>
    <row r="26" spans="1:30" ht="12.9" customHeight="1" x14ac:dyDescent="0.25">
      <c r="A26" s="8">
        <v>6</v>
      </c>
      <c r="B26" s="9" t="s">
        <v>17</v>
      </c>
      <c r="C26" s="27">
        <v>0</v>
      </c>
      <c r="D26" s="27">
        <v>1</v>
      </c>
      <c r="E26" s="27">
        <v>0</v>
      </c>
      <c r="F26" s="27">
        <v>0</v>
      </c>
      <c r="G26" s="27">
        <v>0</v>
      </c>
      <c r="H26" s="15">
        <f>AVERAGE(C26:G26)</f>
        <v>0.2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15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15">
        <v>0</v>
      </c>
      <c r="Y26" s="54" t="s">
        <v>77</v>
      </c>
      <c r="Z26" s="42" t="s">
        <v>78</v>
      </c>
      <c r="AA26" s="42"/>
      <c r="AB26" s="42"/>
      <c r="AC26" s="57" t="s">
        <v>79</v>
      </c>
      <c r="AD26" s="49" t="s">
        <v>81</v>
      </c>
    </row>
    <row r="27" spans="1:30" ht="12.9" customHeight="1" thickBot="1" x14ac:dyDescent="0.3">
      <c r="A27" s="8">
        <v>7</v>
      </c>
      <c r="B27" s="9" t="s">
        <v>14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15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15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15">
        <v>0</v>
      </c>
      <c r="Y27" s="58"/>
      <c r="Z27" s="59"/>
      <c r="AA27" s="60" t="s">
        <v>80</v>
      </c>
      <c r="AB27" s="59"/>
      <c r="AC27" s="60"/>
      <c r="AD27" s="61"/>
    </row>
    <row r="28" spans="1:30" ht="12.9" customHeight="1" x14ac:dyDescent="0.3">
      <c r="A28" s="8">
        <v>8</v>
      </c>
      <c r="B28" s="9" t="s">
        <v>15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15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15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15">
        <v>0</v>
      </c>
    </row>
    <row r="29" spans="1:30" ht="12.9" customHeight="1" x14ac:dyDescent="0.3">
      <c r="A29" s="8">
        <v>9</v>
      </c>
      <c r="B29" s="9" t="s">
        <v>18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15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15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15">
        <v>0</v>
      </c>
    </row>
    <row r="30" spans="1:30" ht="12.9" customHeight="1" x14ac:dyDescent="0.3">
      <c r="A30" s="69" t="s">
        <v>34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30" ht="12.9" customHeight="1" x14ac:dyDescent="0.3">
      <c r="A31" s="77" t="s">
        <v>0</v>
      </c>
      <c r="B31" s="110" t="s">
        <v>40</v>
      </c>
      <c r="C31" s="83" t="s">
        <v>9</v>
      </c>
      <c r="D31" s="84"/>
      <c r="E31" s="84"/>
      <c r="F31" s="84"/>
      <c r="G31" s="84"/>
      <c r="H31" s="85"/>
      <c r="I31" s="83" t="s">
        <v>9</v>
      </c>
      <c r="J31" s="84"/>
      <c r="K31" s="84"/>
      <c r="L31" s="84"/>
      <c r="M31" s="84"/>
      <c r="N31" s="85"/>
      <c r="O31" s="83" t="s">
        <v>9</v>
      </c>
      <c r="P31" s="84"/>
      <c r="Q31" s="84"/>
      <c r="R31" s="84"/>
      <c r="S31" s="84"/>
      <c r="T31" s="85"/>
    </row>
    <row r="32" spans="1:30" ht="12.9" customHeight="1" x14ac:dyDescent="0.3">
      <c r="A32" s="78"/>
      <c r="B32" s="111"/>
      <c r="C32" s="88" t="s">
        <v>27</v>
      </c>
      <c r="D32" s="89"/>
      <c r="E32" s="89"/>
      <c r="F32" s="89"/>
      <c r="G32" s="89"/>
      <c r="H32" s="90"/>
      <c r="I32" s="88" t="s">
        <v>28</v>
      </c>
      <c r="J32" s="89"/>
      <c r="K32" s="89"/>
      <c r="L32" s="89"/>
      <c r="M32" s="89"/>
      <c r="N32" s="90"/>
      <c r="O32" s="88" t="s">
        <v>29</v>
      </c>
      <c r="P32" s="89"/>
      <c r="Q32" s="89"/>
      <c r="R32" s="89"/>
      <c r="S32" s="89"/>
      <c r="T32" s="90"/>
    </row>
    <row r="33" spans="1:20" ht="12.9" customHeight="1" x14ac:dyDescent="0.3">
      <c r="A33" s="79"/>
      <c r="B33" s="112"/>
      <c r="C33" s="1">
        <v>1</v>
      </c>
      <c r="D33" s="1">
        <v>2</v>
      </c>
      <c r="E33" s="1">
        <v>3</v>
      </c>
      <c r="F33" s="1">
        <v>4</v>
      </c>
      <c r="G33" s="1">
        <v>5</v>
      </c>
      <c r="H33" s="14" t="s">
        <v>4</v>
      </c>
      <c r="I33" s="1">
        <v>1</v>
      </c>
      <c r="J33" s="1">
        <v>2</v>
      </c>
      <c r="K33" s="1">
        <v>3</v>
      </c>
      <c r="L33" s="1">
        <v>4</v>
      </c>
      <c r="M33" s="1">
        <v>5</v>
      </c>
      <c r="N33" s="14" t="s">
        <v>4</v>
      </c>
      <c r="O33" s="1">
        <v>1</v>
      </c>
      <c r="P33" s="1">
        <v>2</v>
      </c>
      <c r="Q33" s="1">
        <v>3</v>
      </c>
      <c r="R33" s="1">
        <v>4</v>
      </c>
      <c r="S33" s="1">
        <v>5</v>
      </c>
      <c r="T33" s="14" t="s">
        <v>4</v>
      </c>
    </row>
    <row r="34" spans="1:20" ht="12.9" customHeight="1" x14ac:dyDescent="0.3">
      <c r="A34" s="8">
        <v>1</v>
      </c>
      <c r="B34" s="9" t="s">
        <v>12</v>
      </c>
      <c r="C34" s="1"/>
      <c r="D34" s="1"/>
      <c r="E34" s="1"/>
      <c r="F34" s="1"/>
      <c r="G34" s="1"/>
      <c r="H34" s="15"/>
      <c r="I34" s="1"/>
      <c r="J34" s="1"/>
      <c r="K34" s="1"/>
      <c r="L34" s="1"/>
      <c r="M34" s="1"/>
      <c r="N34" s="15"/>
      <c r="O34" s="1"/>
      <c r="P34" s="1"/>
      <c r="Q34" s="1"/>
      <c r="R34" s="1"/>
      <c r="S34" s="1"/>
      <c r="T34" s="15"/>
    </row>
    <row r="35" spans="1:20" ht="12.9" customHeight="1" x14ac:dyDescent="0.3">
      <c r="A35" s="8">
        <v>2</v>
      </c>
      <c r="B35" s="9" t="s">
        <v>13</v>
      </c>
      <c r="C35" s="1"/>
      <c r="D35" s="1"/>
      <c r="E35" s="1"/>
      <c r="F35" s="1"/>
      <c r="G35" s="1"/>
      <c r="H35" s="15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5"/>
    </row>
    <row r="36" spans="1:20" ht="12.9" customHeight="1" x14ac:dyDescent="0.3">
      <c r="A36" s="8">
        <v>3</v>
      </c>
      <c r="B36" s="9" t="s">
        <v>19</v>
      </c>
      <c r="C36" s="1"/>
      <c r="D36" s="1"/>
      <c r="E36" s="1"/>
      <c r="F36" s="1"/>
      <c r="G36" s="1"/>
      <c r="H36" s="15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5"/>
    </row>
    <row r="37" spans="1:20" ht="12.9" customHeight="1" x14ac:dyDescent="0.3">
      <c r="A37" s="8">
        <v>4</v>
      </c>
      <c r="B37" s="9" t="s">
        <v>20</v>
      </c>
      <c r="C37" s="1"/>
      <c r="D37" s="1"/>
      <c r="E37" s="1"/>
      <c r="F37" s="1"/>
      <c r="G37" s="1"/>
      <c r="H37" s="15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5"/>
    </row>
    <row r="38" spans="1:20" ht="12.9" customHeight="1" x14ac:dyDescent="0.3">
      <c r="A38" s="8">
        <v>5</v>
      </c>
      <c r="B38" s="9" t="s">
        <v>16</v>
      </c>
      <c r="C38" s="1"/>
      <c r="D38" s="1"/>
      <c r="E38" s="1"/>
      <c r="F38" s="1"/>
      <c r="G38" s="1"/>
      <c r="H38" s="15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5"/>
    </row>
    <row r="39" spans="1:20" ht="12.9" customHeight="1" x14ac:dyDescent="0.3">
      <c r="A39" s="8">
        <v>6</v>
      </c>
      <c r="B39" s="9" t="s">
        <v>17</v>
      </c>
      <c r="C39" s="1"/>
      <c r="D39" s="1"/>
      <c r="E39" s="1"/>
      <c r="F39" s="1"/>
      <c r="G39" s="1"/>
      <c r="H39" s="15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5"/>
    </row>
    <row r="40" spans="1:20" ht="12.9" customHeight="1" x14ac:dyDescent="0.3">
      <c r="A40" s="8">
        <v>7</v>
      </c>
      <c r="B40" s="9" t="s">
        <v>14</v>
      </c>
      <c r="C40" s="1"/>
      <c r="D40" s="1"/>
      <c r="E40" s="1"/>
      <c r="F40" s="1"/>
      <c r="G40" s="1"/>
      <c r="H40" s="15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5"/>
    </row>
    <row r="41" spans="1:20" ht="12.9" customHeight="1" x14ac:dyDescent="0.3">
      <c r="A41" s="8">
        <v>8</v>
      </c>
      <c r="B41" s="9" t="s">
        <v>15</v>
      </c>
      <c r="C41" s="1"/>
      <c r="D41" s="1"/>
      <c r="E41" s="1"/>
      <c r="F41" s="1"/>
      <c r="G41" s="1"/>
      <c r="H41" s="15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5"/>
    </row>
    <row r="42" spans="1:20" x14ac:dyDescent="0.3">
      <c r="A42" s="8">
        <v>9</v>
      </c>
      <c r="B42" s="9" t="s">
        <v>18</v>
      </c>
      <c r="C42" s="1"/>
      <c r="D42" s="1"/>
      <c r="E42" s="1"/>
      <c r="F42" s="1"/>
      <c r="G42" s="1"/>
      <c r="H42" s="15"/>
      <c r="I42" s="1"/>
      <c r="J42" s="1"/>
      <c r="K42" s="1"/>
      <c r="L42" s="1"/>
      <c r="M42" s="1"/>
      <c r="N42" s="15"/>
      <c r="O42" s="1"/>
      <c r="P42" s="1"/>
      <c r="Q42" s="1"/>
      <c r="R42" s="1"/>
      <c r="S42" s="1"/>
      <c r="T42" s="15"/>
    </row>
    <row r="55" spans="3:19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3:19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3:19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3:19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3:19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3:19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3:19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mergeCells count="32">
    <mergeCell ref="A1:T1"/>
    <mergeCell ref="A3:T3"/>
    <mergeCell ref="A4:A6"/>
    <mergeCell ref="B4:B6"/>
    <mergeCell ref="C4:H4"/>
    <mergeCell ref="I4:N4"/>
    <mergeCell ref="O4:T4"/>
    <mergeCell ref="C5:H5"/>
    <mergeCell ref="I5:N5"/>
    <mergeCell ref="O5:T5"/>
    <mergeCell ref="A2:T2"/>
    <mergeCell ref="I18:N18"/>
    <mergeCell ref="O18:T18"/>
    <mergeCell ref="C19:H19"/>
    <mergeCell ref="I19:N19"/>
    <mergeCell ref="O19:T19"/>
    <mergeCell ref="A16:B16"/>
    <mergeCell ref="Y2:AD2"/>
    <mergeCell ref="AC16:AD16"/>
    <mergeCell ref="A30:T30"/>
    <mergeCell ref="A31:A33"/>
    <mergeCell ref="B31:B33"/>
    <mergeCell ref="C31:H31"/>
    <mergeCell ref="I31:N31"/>
    <mergeCell ref="O31:T31"/>
    <mergeCell ref="C32:H32"/>
    <mergeCell ref="I32:N32"/>
    <mergeCell ref="O32:T32"/>
    <mergeCell ref="A17:T17"/>
    <mergeCell ref="A18:A20"/>
    <mergeCell ref="B18:B20"/>
    <mergeCell ref="C18:H18"/>
  </mergeCells>
  <printOptions horizontalCentered="1"/>
  <pageMargins left="1.4173228346456694" right="0.23622047244094491" top="0.47244094488188981" bottom="0.19685039370078741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E3CD-76A1-495E-B233-213283176483}">
  <dimension ref="A1:T60"/>
  <sheetViews>
    <sheetView zoomScaleNormal="100" workbookViewId="0">
      <selection activeCell="A20" sqref="A20:T28"/>
    </sheetView>
  </sheetViews>
  <sheetFormatPr defaultRowHeight="14.4" x14ac:dyDescent="0.3"/>
  <cols>
    <col min="1" max="1" width="3.109375" style="5" customWidth="1"/>
    <col min="2" max="2" width="13.5546875" style="4" bestFit="1" customWidth="1"/>
    <col min="3" max="19" width="5.77734375" style="5" customWidth="1"/>
    <col min="20" max="20" width="5.77734375" style="4" customWidth="1"/>
    <col min="21" max="16384" width="8.88671875" style="4"/>
  </cols>
  <sheetData>
    <row r="1" spans="1:20" ht="15" customHeight="1" x14ac:dyDescent="0.3">
      <c r="A1" s="114" t="s">
        <v>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20" x14ac:dyDescent="0.3">
      <c r="A2" s="101" t="s">
        <v>44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ht="15" customHeight="1" x14ac:dyDescent="0.3">
      <c r="A3" s="99" t="s">
        <v>47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</row>
    <row r="4" spans="1:20" ht="13.2" customHeight="1" x14ac:dyDescent="0.3">
      <c r="A4" s="77" t="s">
        <v>0</v>
      </c>
      <c r="B4" s="110" t="s">
        <v>40</v>
      </c>
      <c r="C4" s="83" t="s">
        <v>55</v>
      </c>
      <c r="D4" s="84"/>
      <c r="E4" s="84"/>
      <c r="F4" s="84"/>
      <c r="G4" s="84"/>
      <c r="H4" s="85"/>
      <c r="I4" s="83" t="s">
        <v>55</v>
      </c>
      <c r="J4" s="84"/>
      <c r="K4" s="84"/>
      <c r="L4" s="84"/>
      <c r="M4" s="84"/>
      <c r="N4" s="85"/>
      <c r="O4" s="83" t="s">
        <v>55</v>
      </c>
      <c r="P4" s="84"/>
      <c r="Q4" s="84"/>
      <c r="R4" s="84"/>
      <c r="S4" s="84"/>
      <c r="T4" s="85"/>
    </row>
    <row r="5" spans="1:20" ht="12.9" customHeight="1" x14ac:dyDescent="0.3">
      <c r="A5" s="78"/>
      <c r="B5" s="111"/>
      <c r="C5" s="88" t="s">
        <v>27</v>
      </c>
      <c r="D5" s="89"/>
      <c r="E5" s="89"/>
      <c r="F5" s="89"/>
      <c r="G5" s="89"/>
      <c r="H5" s="90"/>
      <c r="I5" s="88" t="s">
        <v>28</v>
      </c>
      <c r="J5" s="89"/>
      <c r="K5" s="89"/>
      <c r="L5" s="89"/>
      <c r="M5" s="89"/>
      <c r="N5" s="90"/>
      <c r="O5" s="88" t="s">
        <v>29</v>
      </c>
      <c r="P5" s="89"/>
      <c r="Q5" s="89"/>
      <c r="R5" s="89"/>
      <c r="S5" s="89"/>
      <c r="T5" s="90"/>
    </row>
    <row r="6" spans="1:20" ht="12.9" customHeight="1" x14ac:dyDescent="0.3">
      <c r="A6" s="79"/>
      <c r="B6" s="112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26" t="s">
        <v>4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26" t="s">
        <v>4</v>
      </c>
      <c r="O6" s="19">
        <v>1</v>
      </c>
      <c r="P6" s="19">
        <v>2</v>
      </c>
      <c r="Q6" s="19">
        <v>3</v>
      </c>
      <c r="R6" s="19">
        <v>4</v>
      </c>
      <c r="S6" s="19">
        <v>5</v>
      </c>
      <c r="T6" s="26" t="s">
        <v>4</v>
      </c>
    </row>
    <row r="7" spans="1:20" ht="12.9" customHeight="1" x14ac:dyDescent="0.3">
      <c r="A7" s="8">
        <v>1</v>
      </c>
      <c r="B7" s="9" t="s">
        <v>12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5">
        <v>0.2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4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4">
        <v>0</v>
      </c>
    </row>
    <row r="8" spans="1:20" ht="12.9" customHeight="1" x14ac:dyDescent="0.3">
      <c r="A8" s="8">
        <v>2</v>
      </c>
      <c r="B8" s="9" t="s">
        <v>13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4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4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4">
        <v>0</v>
      </c>
    </row>
    <row r="9" spans="1:20" ht="12.9" customHeight="1" x14ac:dyDescent="0.3">
      <c r="A9" s="8">
        <v>3</v>
      </c>
      <c r="B9" s="9" t="s">
        <v>19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4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4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4">
        <v>0</v>
      </c>
    </row>
    <row r="10" spans="1:20" ht="12.9" customHeight="1" x14ac:dyDescent="0.3">
      <c r="A10" s="8">
        <v>4</v>
      </c>
      <c r="B10" s="9" t="s">
        <v>20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4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4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4">
        <v>0</v>
      </c>
    </row>
    <row r="11" spans="1:20" ht="12.9" customHeight="1" x14ac:dyDescent="0.3">
      <c r="A11" s="8">
        <v>5</v>
      </c>
      <c r="B11" s="9" t="s">
        <v>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4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4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4">
        <v>0</v>
      </c>
    </row>
    <row r="12" spans="1:20" ht="12.9" customHeight="1" x14ac:dyDescent="0.3">
      <c r="A12" s="8">
        <v>6</v>
      </c>
      <c r="B12" s="9" t="s">
        <v>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4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4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4">
        <v>0</v>
      </c>
    </row>
    <row r="13" spans="1:20" ht="12.9" customHeight="1" x14ac:dyDescent="0.3">
      <c r="A13" s="8">
        <v>7</v>
      </c>
      <c r="B13" s="9" t="s">
        <v>14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4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4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4">
        <v>0</v>
      </c>
    </row>
    <row r="14" spans="1:20" ht="12.9" customHeight="1" x14ac:dyDescent="0.3">
      <c r="A14" s="8">
        <v>8</v>
      </c>
      <c r="B14" s="9" t="s">
        <v>15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4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4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4">
        <v>0</v>
      </c>
    </row>
    <row r="15" spans="1:20" ht="12.9" customHeight="1" x14ac:dyDescent="0.3">
      <c r="A15" s="8">
        <v>9</v>
      </c>
      <c r="B15" s="9" t="s">
        <v>18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4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4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4">
        <v>0</v>
      </c>
    </row>
    <row r="16" spans="1:20" ht="12.9" customHeight="1" x14ac:dyDescent="0.3">
      <c r="A16" s="69" t="s">
        <v>48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spans="1:20" ht="12" customHeight="1" x14ac:dyDescent="0.3">
      <c r="A17" s="77" t="s">
        <v>0</v>
      </c>
      <c r="B17" s="110" t="s">
        <v>40</v>
      </c>
      <c r="C17" s="83" t="s">
        <v>55</v>
      </c>
      <c r="D17" s="84"/>
      <c r="E17" s="84"/>
      <c r="F17" s="84"/>
      <c r="G17" s="84"/>
      <c r="H17" s="85"/>
      <c r="I17" s="83" t="s">
        <v>55</v>
      </c>
      <c r="J17" s="84"/>
      <c r="K17" s="84"/>
      <c r="L17" s="84"/>
      <c r="M17" s="84"/>
      <c r="N17" s="85"/>
      <c r="O17" s="83" t="s">
        <v>55</v>
      </c>
      <c r="P17" s="84"/>
      <c r="Q17" s="84"/>
      <c r="R17" s="84"/>
      <c r="S17" s="84"/>
      <c r="T17" s="85"/>
    </row>
    <row r="18" spans="1:20" ht="12.9" customHeight="1" x14ac:dyDescent="0.3">
      <c r="A18" s="78"/>
      <c r="B18" s="111"/>
      <c r="C18" s="88" t="s">
        <v>27</v>
      </c>
      <c r="D18" s="89"/>
      <c r="E18" s="89"/>
      <c r="F18" s="89"/>
      <c r="G18" s="89"/>
      <c r="H18" s="90"/>
      <c r="I18" s="88" t="s">
        <v>28</v>
      </c>
      <c r="J18" s="89"/>
      <c r="K18" s="89"/>
      <c r="L18" s="89"/>
      <c r="M18" s="89"/>
      <c r="N18" s="90"/>
      <c r="O18" s="88" t="s">
        <v>29</v>
      </c>
      <c r="P18" s="89"/>
      <c r="Q18" s="89"/>
      <c r="R18" s="89"/>
      <c r="S18" s="89"/>
      <c r="T18" s="90"/>
    </row>
    <row r="19" spans="1:20" ht="12.9" customHeight="1" x14ac:dyDescent="0.3">
      <c r="A19" s="79"/>
      <c r="B19" s="112"/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4" t="s">
        <v>4</v>
      </c>
      <c r="I19" s="1">
        <v>1</v>
      </c>
      <c r="J19" s="1">
        <v>2</v>
      </c>
      <c r="K19" s="1">
        <v>3</v>
      </c>
      <c r="L19" s="1">
        <v>4</v>
      </c>
      <c r="M19" s="1">
        <v>5</v>
      </c>
      <c r="N19" s="14" t="s">
        <v>4</v>
      </c>
      <c r="O19" s="1">
        <v>1</v>
      </c>
      <c r="P19" s="1">
        <v>2</v>
      </c>
      <c r="Q19" s="1">
        <v>3</v>
      </c>
      <c r="R19" s="1">
        <v>4</v>
      </c>
      <c r="S19" s="1">
        <v>5</v>
      </c>
      <c r="T19" s="14" t="s">
        <v>4</v>
      </c>
    </row>
    <row r="20" spans="1:20" ht="12.9" customHeight="1" x14ac:dyDescent="0.3">
      <c r="A20" s="8">
        <v>1</v>
      </c>
      <c r="B20" s="9" t="s">
        <v>12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15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15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15">
        <v>0</v>
      </c>
    </row>
    <row r="21" spans="1:20" ht="12.9" customHeight="1" x14ac:dyDescent="0.3">
      <c r="A21" s="8">
        <v>2</v>
      </c>
      <c r="B21" s="9" t="s">
        <v>13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15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15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15">
        <v>0</v>
      </c>
    </row>
    <row r="22" spans="1:20" ht="12.9" customHeight="1" x14ac:dyDescent="0.3">
      <c r="A22" s="8">
        <v>3</v>
      </c>
      <c r="B22" s="9" t="s">
        <v>19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15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15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15">
        <v>0</v>
      </c>
    </row>
    <row r="23" spans="1:20" ht="12.9" customHeight="1" x14ac:dyDescent="0.3">
      <c r="A23" s="8">
        <v>4</v>
      </c>
      <c r="B23" s="9" t="s">
        <v>20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15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15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15">
        <v>0</v>
      </c>
    </row>
    <row r="24" spans="1:20" ht="12.9" customHeight="1" x14ac:dyDescent="0.3">
      <c r="A24" s="8">
        <v>5</v>
      </c>
      <c r="B24" s="9" t="s">
        <v>16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15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15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15">
        <v>0</v>
      </c>
    </row>
    <row r="25" spans="1:20" ht="12.9" customHeight="1" x14ac:dyDescent="0.3">
      <c r="A25" s="8">
        <v>6</v>
      </c>
      <c r="B25" s="9" t="s">
        <v>17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15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15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15">
        <v>0</v>
      </c>
    </row>
    <row r="26" spans="1:20" ht="12.9" customHeight="1" x14ac:dyDescent="0.3">
      <c r="A26" s="8">
        <v>7</v>
      </c>
      <c r="B26" s="9" t="s">
        <v>14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15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15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15">
        <v>0</v>
      </c>
    </row>
    <row r="27" spans="1:20" ht="12.9" customHeight="1" x14ac:dyDescent="0.3">
      <c r="A27" s="8">
        <v>8</v>
      </c>
      <c r="B27" s="9" t="s">
        <v>15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15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15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15">
        <v>0</v>
      </c>
    </row>
    <row r="28" spans="1:20" ht="12.9" customHeight="1" x14ac:dyDescent="0.3">
      <c r="A28" s="8">
        <v>9</v>
      </c>
      <c r="B28" s="9" t="s">
        <v>18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15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15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15">
        <v>0</v>
      </c>
    </row>
    <row r="29" spans="1:20" ht="12.9" customHeight="1" x14ac:dyDescent="0.3">
      <c r="A29" s="69" t="s">
        <v>49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</row>
    <row r="30" spans="1:20" ht="12.9" customHeight="1" x14ac:dyDescent="0.3">
      <c r="A30" s="77" t="s">
        <v>0</v>
      </c>
      <c r="B30" s="110" t="s">
        <v>40</v>
      </c>
      <c r="C30" s="83" t="s">
        <v>55</v>
      </c>
      <c r="D30" s="84"/>
      <c r="E30" s="84"/>
      <c r="F30" s="84"/>
      <c r="G30" s="84"/>
      <c r="H30" s="85"/>
      <c r="I30" s="83" t="s">
        <v>55</v>
      </c>
      <c r="J30" s="84"/>
      <c r="K30" s="84"/>
      <c r="L30" s="84"/>
      <c r="M30" s="84"/>
      <c r="N30" s="85"/>
      <c r="O30" s="83" t="s">
        <v>55</v>
      </c>
      <c r="P30" s="84"/>
      <c r="Q30" s="84"/>
      <c r="R30" s="84"/>
      <c r="S30" s="84"/>
      <c r="T30" s="85"/>
    </row>
    <row r="31" spans="1:20" ht="12.9" customHeight="1" x14ac:dyDescent="0.3">
      <c r="A31" s="78"/>
      <c r="B31" s="111"/>
      <c r="C31" s="88" t="s">
        <v>27</v>
      </c>
      <c r="D31" s="89"/>
      <c r="E31" s="89"/>
      <c r="F31" s="89"/>
      <c r="G31" s="89"/>
      <c r="H31" s="90"/>
      <c r="I31" s="88" t="s">
        <v>28</v>
      </c>
      <c r="J31" s="89"/>
      <c r="K31" s="89"/>
      <c r="L31" s="89"/>
      <c r="M31" s="89"/>
      <c r="N31" s="90"/>
      <c r="O31" s="88" t="s">
        <v>29</v>
      </c>
      <c r="P31" s="89"/>
      <c r="Q31" s="89"/>
      <c r="R31" s="89"/>
      <c r="S31" s="89"/>
      <c r="T31" s="90"/>
    </row>
    <row r="32" spans="1:20" ht="12.9" customHeight="1" x14ac:dyDescent="0.3">
      <c r="A32" s="79"/>
      <c r="B32" s="112"/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4" t="s">
        <v>4</v>
      </c>
      <c r="I32" s="1">
        <v>1</v>
      </c>
      <c r="J32" s="1">
        <v>2</v>
      </c>
      <c r="K32" s="1">
        <v>3</v>
      </c>
      <c r="L32" s="1">
        <v>4</v>
      </c>
      <c r="M32" s="1">
        <v>5</v>
      </c>
      <c r="N32" s="14" t="s">
        <v>4</v>
      </c>
      <c r="O32" s="1">
        <v>1</v>
      </c>
      <c r="P32" s="1">
        <v>2</v>
      </c>
      <c r="Q32" s="1">
        <v>3</v>
      </c>
      <c r="R32" s="1">
        <v>4</v>
      </c>
      <c r="S32" s="1">
        <v>5</v>
      </c>
      <c r="T32" s="14" t="s">
        <v>4</v>
      </c>
    </row>
    <row r="33" spans="1:20" ht="12.9" customHeight="1" x14ac:dyDescent="0.3">
      <c r="A33" s="8">
        <v>1</v>
      </c>
      <c r="B33" s="9" t="s">
        <v>12</v>
      </c>
      <c r="C33" s="1"/>
      <c r="D33" s="1"/>
      <c r="E33" s="1"/>
      <c r="F33" s="1"/>
      <c r="G33" s="1"/>
      <c r="H33" s="15"/>
      <c r="I33" s="1"/>
      <c r="J33" s="1"/>
      <c r="K33" s="1"/>
      <c r="L33" s="1"/>
      <c r="M33" s="1"/>
      <c r="N33" s="15"/>
      <c r="O33" s="1"/>
      <c r="P33" s="1"/>
      <c r="Q33" s="1"/>
      <c r="R33" s="1"/>
      <c r="S33" s="1"/>
      <c r="T33" s="15"/>
    </row>
    <row r="34" spans="1:20" ht="12.9" customHeight="1" x14ac:dyDescent="0.3">
      <c r="A34" s="8">
        <v>2</v>
      </c>
      <c r="B34" s="9" t="s">
        <v>13</v>
      </c>
      <c r="C34" s="1"/>
      <c r="D34" s="1"/>
      <c r="E34" s="1"/>
      <c r="F34" s="1"/>
      <c r="G34" s="1"/>
      <c r="H34" s="15"/>
      <c r="I34" s="1"/>
      <c r="J34" s="1"/>
      <c r="K34" s="1"/>
      <c r="L34" s="1"/>
      <c r="M34" s="1"/>
      <c r="N34" s="15"/>
      <c r="O34" s="1"/>
      <c r="P34" s="1"/>
      <c r="Q34" s="1"/>
      <c r="R34" s="1"/>
      <c r="S34" s="1"/>
      <c r="T34" s="15"/>
    </row>
    <row r="35" spans="1:20" ht="12.9" customHeight="1" x14ac:dyDescent="0.3">
      <c r="A35" s="8">
        <v>3</v>
      </c>
      <c r="B35" s="9" t="s">
        <v>19</v>
      </c>
      <c r="C35" s="1"/>
      <c r="D35" s="1"/>
      <c r="E35" s="1"/>
      <c r="F35" s="1"/>
      <c r="G35" s="1"/>
      <c r="H35" s="15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5"/>
    </row>
    <row r="36" spans="1:20" ht="12.9" customHeight="1" x14ac:dyDescent="0.3">
      <c r="A36" s="8">
        <v>4</v>
      </c>
      <c r="B36" s="9" t="s">
        <v>20</v>
      </c>
      <c r="C36" s="1"/>
      <c r="D36" s="1"/>
      <c r="E36" s="1"/>
      <c r="F36" s="1"/>
      <c r="G36" s="1"/>
      <c r="H36" s="15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5"/>
    </row>
    <row r="37" spans="1:20" ht="12.9" customHeight="1" x14ac:dyDescent="0.3">
      <c r="A37" s="8">
        <v>5</v>
      </c>
      <c r="B37" s="9" t="s">
        <v>16</v>
      </c>
      <c r="C37" s="1"/>
      <c r="D37" s="1"/>
      <c r="E37" s="1"/>
      <c r="F37" s="1"/>
      <c r="G37" s="1"/>
      <c r="H37" s="15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5"/>
    </row>
    <row r="38" spans="1:20" ht="12.9" customHeight="1" x14ac:dyDescent="0.3">
      <c r="A38" s="8">
        <v>6</v>
      </c>
      <c r="B38" s="9" t="s">
        <v>17</v>
      </c>
      <c r="C38" s="1"/>
      <c r="D38" s="1"/>
      <c r="E38" s="1"/>
      <c r="F38" s="1"/>
      <c r="G38" s="1"/>
      <c r="H38" s="15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5"/>
    </row>
    <row r="39" spans="1:20" ht="12.9" customHeight="1" x14ac:dyDescent="0.3">
      <c r="A39" s="8">
        <v>7</v>
      </c>
      <c r="B39" s="9" t="s">
        <v>14</v>
      </c>
      <c r="C39" s="1"/>
      <c r="D39" s="1"/>
      <c r="E39" s="1"/>
      <c r="F39" s="1"/>
      <c r="G39" s="1"/>
      <c r="H39" s="15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5"/>
    </row>
    <row r="40" spans="1:20" ht="12.9" customHeight="1" x14ac:dyDescent="0.3">
      <c r="A40" s="8">
        <v>8</v>
      </c>
      <c r="B40" s="9" t="s">
        <v>15</v>
      </c>
      <c r="C40" s="1"/>
      <c r="D40" s="1"/>
      <c r="E40" s="1"/>
      <c r="F40" s="1"/>
      <c r="G40" s="1"/>
      <c r="H40" s="15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5"/>
    </row>
    <row r="41" spans="1:20" x14ac:dyDescent="0.3">
      <c r="A41" s="8">
        <v>9</v>
      </c>
      <c r="B41" s="9" t="s">
        <v>18</v>
      </c>
      <c r="C41" s="1"/>
      <c r="D41" s="1"/>
      <c r="E41" s="1"/>
      <c r="F41" s="1"/>
      <c r="G41" s="1"/>
      <c r="H41" s="15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5"/>
    </row>
    <row r="54" spans="3:19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3:19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3:19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3:19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3:19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3:19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3:19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</sheetData>
  <mergeCells count="29">
    <mergeCell ref="A29:T29"/>
    <mergeCell ref="A30:A32"/>
    <mergeCell ref="B30:B32"/>
    <mergeCell ref="C30:H30"/>
    <mergeCell ref="I30:N30"/>
    <mergeCell ref="O30:T30"/>
    <mergeCell ref="C31:H31"/>
    <mergeCell ref="I31:N31"/>
    <mergeCell ref="O31:T31"/>
    <mergeCell ref="A16:T16"/>
    <mergeCell ref="A17:A19"/>
    <mergeCell ref="B17:B19"/>
    <mergeCell ref="C17:H17"/>
    <mergeCell ref="I17:N17"/>
    <mergeCell ref="O17:T17"/>
    <mergeCell ref="C18:H18"/>
    <mergeCell ref="I18:N18"/>
    <mergeCell ref="O18:T18"/>
    <mergeCell ref="A1:T1"/>
    <mergeCell ref="A2:T2"/>
    <mergeCell ref="A3:T3"/>
    <mergeCell ref="A4:A6"/>
    <mergeCell ref="B4:B6"/>
    <mergeCell ref="C4:H4"/>
    <mergeCell ref="I4:N4"/>
    <mergeCell ref="O4:T4"/>
    <mergeCell ref="C5:H5"/>
    <mergeCell ref="I5:N5"/>
    <mergeCell ref="O5:T5"/>
  </mergeCells>
  <printOptions horizontalCentered="1"/>
  <pageMargins left="1.4173228346456694" right="0.23622047244094491" top="0.47244094488188981" bottom="0.19685039370078741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15E2-A2F2-4410-90E2-94858478154B}">
  <dimension ref="A1:T60"/>
  <sheetViews>
    <sheetView zoomScaleNormal="100" workbookViewId="0">
      <selection activeCell="A20" sqref="A20:T28"/>
    </sheetView>
  </sheetViews>
  <sheetFormatPr defaultRowHeight="14.4" x14ac:dyDescent="0.3"/>
  <cols>
    <col min="1" max="1" width="3.109375" style="5" customWidth="1"/>
    <col min="2" max="2" width="13.5546875" style="4" bestFit="1" customWidth="1"/>
    <col min="3" max="19" width="5.77734375" style="5" customWidth="1"/>
    <col min="20" max="20" width="5.77734375" style="4" customWidth="1"/>
    <col min="21" max="16384" width="8.88671875" style="4"/>
  </cols>
  <sheetData>
    <row r="1" spans="1:20" ht="15" customHeight="1" x14ac:dyDescent="0.3">
      <c r="A1" s="114" t="s">
        <v>43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20" x14ac:dyDescent="0.3">
      <c r="A2" s="101" t="s">
        <v>44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ht="15" customHeight="1" x14ac:dyDescent="0.3">
      <c r="A3" s="99" t="s">
        <v>37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</row>
    <row r="4" spans="1:20" ht="13.2" customHeight="1" x14ac:dyDescent="0.3">
      <c r="A4" s="77" t="s">
        <v>0</v>
      </c>
      <c r="B4" s="110" t="s">
        <v>40</v>
      </c>
      <c r="C4" s="83" t="s">
        <v>36</v>
      </c>
      <c r="D4" s="84"/>
      <c r="E4" s="84"/>
      <c r="F4" s="84"/>
      <c r="G4" s="84"/>
      <c r="H4" s="85"/>
      <c r="I4" s="83" t="s">
        <v>36</v>
      </c>
      <c r="J4" s="84"/>
      <c r="K4" s="84"/>
      <c r="L4" s="84"/>
      <c r="M4" s="84"/>
      <c r="N4" s="85"/>
      <c r="O4" s="83" t="s">
        <v>36</v>
      </c>
      <c r="P4" s="84"/>
      <c r="Q4" s="84"/>
      <c r="R4" s="84"/>
      <c r="S4" s="84"/>
      <c r="T4" s="85"/>
    </row>
    <row r="5" spans="1:20" ht="12.9" customHeight="1" x14ac:dyDescent="0.3">
      <c r="A5" s="78"/>
      <c r="B5" s="111"/>
      <c r="C5" s="88" t="s">
        <v>27</v>
      </c>
      <c r="D5" s="89"/>
      <c r="E5" s="89"/>
      <c r="F5" s="89"/>
      <c r="G5" s="89"/>
      <c r="H5" s="90"/>
      <c r="I5" s="88" t="s">
        <v>28</v>
      </c>
      <c r="J5" s="89"/>
      <c r="K5" s="89"/>
      <c r="L5" s="89"/>
      <c r="M5" s="89"/>
      <c r="N5" s="90"/>
      <c r="O5" s="88" t="s">
        <v>29</v>
      </c>
      <c r="P5" s="89"/>
      <c r="Q5" s="89"/>
      <c r="R5" s="89"/>
      <c r="S5" s="89"/>
      <c r="T5" s="90"/>
    </row>
    <row r="6" spans="1:20" ht="12.9" customHeight="1" x14ac:dyDescent="0.3">
      <c r="A6" s="79"/>
      <c r="B6" s="112"/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26" t="s">
        <v>4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26" t="s">
        <v>4</v>
      </c>
      <c r="O6" s="19">
        <v>1</v>
      </c>
      <c r="P6" s="19">
        <v>2</v>
      </c>
      <c r="Q6" s="19">
        <v>3</v>
      </c>
      <c r="R6" s="19">
        <v>4</v>
      </c>
      <c r="S6" s="19">
        <v>5</v>
      </c>
      <c r="T6" s="26" t="s">
        <v>4</v>
      </c>
    </row>
    <row r="7" spans="1:20" ht="12.9" customHeight="1" x14ac:dyDescent="0.3">
      <c r="A7" s="8">
        <v>1</v>
      </c>
      <c r="B7" s="9" t="s">
        <v>12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5">
        <v>0.2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4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4">
        <v>0</v>
      </c>
    </row>
    <row r="8" spans="1:20" ht="12.9" customHeight="1" x14ac:dyDescent="0.3">
      <c r="A8" s="8">
        <v>2</v>
      </c>
      <c r="B8" s="9" t="s">
        <v>13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4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4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4">
        <v>0</v>
      </c>
    </row>
    <row r="9" spans="1:20" ht="12.9" customHeight="1" x14ac:dyDescent="0.3">
      <c r="A9" s="8">
        <v>3</v>
      </c>
      <c r="B9" s="9" t="s">
        <v>19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4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4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4">
        <v>0</v>
      </c>
    </row>
    <row r="10" spans="1:20" ht="12.9" customHeight="1" x14ac:dyDescent="0.3">
      <c r="A10" s="8">
        <v>4</v>
      </c>
      <c r="B10" s="9" t="s">
        <v>20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4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4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4">
        <v>0</v>
      </c>
    </row>
    <row r="11" spans="1:20" ht="12.9" customHeight="1" x14ac:dyDescent="0.3">
      <c r="A11" s="8">
        <v>5</v>
      </c>
      <c r="B11" s="9" t="s">
        <v>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4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4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4">
        <v>0</v>
      </c>
    </row>
    <row r="12" spans="1:20" ht="12.9" customHeight="1" x14ac:dyDescent="0.3">
      <c r="A12" s="8">
        <v>6</v>
      </c>
      <c r="B12" s="9" t="s">
        <v>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4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4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4">
        <v>0</v>
      </c>
    </row>
    <row r="13" spans="1:20" ht="12.9" customHeight="1" x14ac:dyDescent="0.3">
      <c r="A13" s="8">
        <v>7</v>
      </c>
      <c r="B13" s="9" t="s">
        <v>14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4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4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4">
        <v>0</v>
      </c>
    </row>
    <row r="14" spans="1:20" ht="12.9" customHeight="1" x14ac:dyDescent="0.3">
      <c r="A14" s="8">
        <v>8</v>
      </c>
      <c r="B14" s="9" t="s">
        <v>15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4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4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4">
        <v>0</v>
      </c>
    </row>
    <row r="15" spans="1:20" ht="12.9" customHeight="1" x14ac:dyDescent="0.3">
      <c r="A15" s="8">
        <v>9</v>
      </c>
      <c r="B15" s="9" t="s">
        <v>18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4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4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4">
        <v>0</v>
      </c>
    </row>
    <row r="16" spans="1:20" ht="12.9" customHeight="1" x14ac:dyDescent="0.3">
      <c r="A16" s="113" t="s">
        <v>38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</row>
    <row r="17" spans="1:20" ht="12" customHeight="1" x14ac:dyDescent="0.3">
      <c r="A17" s="77" t="s">
        <v>0</v>
      </c>
      <c r="B17" s="110" t="s">
        <v>40</v>
      </c>
      <c r="C17" s="83" t="s">
        <v>36</v>
      </c>
      <c r="D17" s="84"/>
      <c r="E17" s="84"/>
      <c r="F17" s="84"/>
      <c r="G17" s="84"/>
      <c r="H17" s="85"/>
      <c r="I17" s="83" t="s">
        <v>36</v>
      </c>
      <c r="J17" s="84"/>
      <c r="K17" s="84"/>
      <c r="L17" s="84"/>
      <c r="M17" s="84"/>
      <c r="N17" s="85"/>
      <c r="O17" s="83" t="s">
        <v>36</v>
      </c>
      <c r="P17" s="84"/>
      <c r="Q17" s="84"/>
      <c r="R17" s="84"/>
      <c r="S17" s="84"/>
      <c r="T17" s="85"/>
    </row>
    <row r="18" spans="1:20" ht="12.9" customHeight="1" x14ac:dyDescent="0.3">
      <c r="A18" s="78"/>
      <c r="B18" s="111"/>
      <c r="C18" s="88" t="s">
        <v>27</v>
      </c>
      <c r="D18" s="89"/>
      <c r="E18" s="89"/>
      <c r="F18" s="89"/>
      <c r="G18" s="89"/>
      <c r="H18" s="90"/>
      <c r="I18" s="88" t="s">
        <v>28</v>
      </c>
      <c r="J18" s="89"/>
      <c r="K18" s="89"/>
      <c r="L18" s="89"/>
      <c r="M18" s="89"/>
      <c r="N18" s="90"/>
      <c r="O18" s="88" t="s">
        <v>29</v>
      </c>
      <c r="P18" s="89"/>
      <c r="Q18" s="89"/>
      <c r="R18" s="89"/>
      <c r="S18" s="89"/>
      <c r="T18" s="90"/>
    </row>
    <row r="19" spans="1:20" ht="12.9" customHeight="1" x14ac:dyDescent="0.3">
      <c r="A19" s="79"/>
      <c r="B19" s="112"/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4" t="s">
        <v>4</v>
      </c>
      <c r="I19" s="1">
        <v>1</v>
      </c>
      <c r="J19" s="1">
        <v>2</v>
      </c>
      <c r="K19" s="1">
        <v>3</v>
      </c>
      <c r="L19" s="1">
        <v>4</v>
      </c>
      <c r="M19" s="1">
        <v>5</v>
      </c>
      <c r="N19" s="14" t="s">
        <v>4</v>
      </c>
      <c r="O19" s="1">
        <v>1</v>
      </c>
      <c r="P19" s="1">
        <v>2</v>
      </c>
      <c r="Q19" s="1">
        <v>3</v>
      </c>
      <c r="R19" s="1">
        <v>4</v>
      </c>
      <c r="S19" s="1">
        <v>5</v>
      </c>
      <c r="T19" s="14" t="s">
        <v>4</v>
      </c>
    </row>
    <row r="20" spans="1:20" ht="12.9" customHeight="1" x14ac:dyDescent="0.3">
      <c r="A20" s="8">
        <v>1</v>
      </c>
      <c r="B20" s="9" t="s">
        <v>12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15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15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15">
        <v>0</v>
      </c>
    </row>
    <row r="21" spans="1:20" ht="12.9" customHeight="1" x14ac:dyDescent="0.3">
      <c r="A21" s="8">
        <v>2</v>
      </c>
      <c r="B21" s="9" t="s">
        <v>13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15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15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15">
        <v>0</v>
      </c>
    </row>
    <row r="22" spans="1:20" ht="12.9" customHeight="1" x14ac:dyDescent="0.3">
      <c r="A22" s="8">
        <v>3</v>
      </c>
      <c r="B22" s="9" t="s">
        <v>19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15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15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15">
        <v>0</v>
      </c>
    </row>
    <row r="23" spans="1:20" ht="12.9" customHeight="1" x14ac:dyDescent="0.3">
      <c r="A23" s="8">
        <v>4</v>
      </c>
      <c r="B23" s="9" t="s">
        <v>20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15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15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15">
        <v>0</v>
      </c>
    </row>
    <row r="24" spans="1:20" ht="12.9" customHeight="1" x14ac:dyDescent="0.3">
      <c r="A24" s="8">
        <v>5</v>
      </c>
      <c r="B24" s="9" t="s">
        <v>16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15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15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15">
        <v>0</v>
      </c>
    </row>
    <row r="25" spans="1:20" ht="12.9" customHeight="1" x14ac:dyDescent="0.3">
      <c r="A25" s="8">
        <v>6</v>
      </c>
      <c r="B25" s="9" t="s">
        <v>17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15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15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15">
        <v>0</v>
      </c>
    </row>
    <row r="26" spans="1:20" ht="12.9" customHeight="1" x14ac:dyDescent="0.3">
      <c r="A26" s="8">
        <v>7</v>
      </c>
      <c r="B26" s="9" t="s">
        <v>14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15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15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15">
        <v>0</v>
      </c>
    </row>
    <row r="27" spans="1:20" ht="12.9" customHeight="1" x14ac:dyDescent="0.3">
      <c r="A27" s="8">
        <v>8</v>
      </c>
      <c r="B27" s="9" t="s">
        <v>15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15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15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15">
        <v>0</v>
      </c>
    </row>
    <row r="28" spans="1:20" ht="12.9" customHeight="1" x14ac:dyDescent="0.3">
      <c r="A28" s="8">
        <v>9</v>
      </c>
      <c r="B28" s="9" t="s">
        <v>18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15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15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15">
        <v>0</v>
      </c>
    </row>
    <row r="29" spans="1:20" ht="12.9" customHeight="1" x14ac:dyDescent="0.3">
      <c r="A29" s="113" t="s">
        <v>39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</row>
    <row r="30" spans="1:20" ht="12.9" customHeight="1" x14ac:dyDescent="0.3">
      <c r="A30" s="77" t="s">
        <v>0</v>
      </c>
      <c r="B30" s="110" t="s">
        <v>40</v>
      </c>
      <c r="C30" s="83" t="s">
        <v>36</v>
      </c>
      <c r="D30" s="84"/>
      <c r="E30" s="84"/>
      <c r="F30" s="84"/>
      <c r="G30" s="84"/>
      <c r="H30" s="85"/>
      <c r="I30" s="83" t="s">
        <v>36</v>
      </c>
      <c r="J30" s="84"/>
      <c r="K30" s="84"/>
      <c r="L30" s="84"/>
      <c r="M30" s="84"/>
      <c r="N30" s="85"/>
      <c r="O30" s="83" t="s">
        <v>36</v>
      </c>
      <c r="P30" s="84"/>
      <c r="Q30" s="84"/>
      <c r="R30" s="84"/>
      <c r="S30" s="84"/>
      <c r="T30" s="85"/>
    </row>
    <row r="31" spans="1:20" ht="12.9" customHeight="1" x14ac:dyDescent="0.3">
      <c r="A31" s="78"/>
      <c r="B31" s="111"/>
      <c r="C31" s="88" t="s">
        <v>27</v>
      </c>
      <c r="D31" s="89"/>
      <c r="E31" s="89"/>
      <c r="F31" s="89"/>
      <c r="G31" s="89"/>
      <c r="H31" s="90"/>
      <c r="I31" s="88" t="s">
        <v>28</v>
      </c>
      <c r="J31" s="89"/>
      <c r="K31" s="89"/>
      <c r="L31" s="89"/>
      <c r="M31" s="89"/>
      <c r="N31" s="90"/>
      <c r="O31" s="88" t="s">
        <v>29</v>
      </c>
      <c r="P31" s="89"/>
      <c r="Q31" s="89"/>
      <c r="R31" s="89"/>
      <c r="S31" s="89"/>
      <c r="T31" s="90"/>
    </row>
    <row r="32" spans="1:20" ht="12.9" customHeight="1" x14ac:dyDescent="0.3">
      <c r="A32" s="79"/>
      <c r="B32" s="112"/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4" t="s">
        <v>4</v>
      </c>
      <c r="I32" s="1">
        <v>1</v>
      </c>
      <c r="J32" s="1">
        <v>2</v>
      </c>
      <c r="K32" s="1">
        <v>3</v>
      </c>
      <c r="L32" s="1">
        <v>4</v>
      </c>
      <c r="M32" s="1">
        <v>5</v>
      </c>
      <c r="N32" s="14" t="s">
        <v>4</v>
      </c>
      <c r="O32" s="1">
        <v>1</v>
      </c>
      <c r="P32" s="1">
        <v>2</v>
      </c>
      <c r="Q32" s="1">
        <v>3</v>
      </c>
      <c r="R32" s="1">
        <v>4</v>
      </c>
      <c r="S32" s="1">
        <v>5</v>
      </c>
      <c r="T32" s="14" t="s">
        <v>4</v>
      </c>
    </row>
    <row r="33" spans="1:20" ht="12.9" customHeight="1" x14ac:dyDescent="0.3">
      <c r="A33" s="8">
        <v>1</v>
      </c>
      <c r="B33" s="9" t="s">
        <v>12</v>
      </c>
      <c r="C33" s="1"/>
      <c r="D33" s="1"/>
      <c r="E33" s="1"/>
      <c r="F33" s="1"/>
      <c r="G33" s="1"/>
      <c r="H33" s="15"/>
      <c r="I33" s="1"/>
      <c r="J33" s="1"/>
      <c r="K33" s="1"/>
      <c r="L33" s="1"/>
      <c r="M33" s="1"/>
      <c r="N33" s="15"/>
      <c r="O33" s="1"/>
      <c r="P33" s="1"/>
      <c r="Q33" s="1"/>
      <c r="R33" s="1"/>
      <c r="S33" s="1"/>
      <c r="T33" s="15"/>
    </row>
    <row r="34" spans="1:20" ht="12.9" customHeight="1" x14ac:dyDescent="0.3">
      <c r="A34" s="8">
        <v>2</v>
      </c>
      <c r="B34" s="9" t="s">
        <v>13</v>
      </c>
      <c r="C34" s="1"/>
      <c r="D34" s="1"/>
      <c r="E34" s="1"/>
      <c r="F34" s="1"/>
      <c r="G34" s="1"/>
      <c r="H34" s="15"/>
      <c r="I34" s="1"/>
      <c r="J34" s="1"/>
      <c r="K34" s="1"/>
      <c r="L34" s="1"/>
      <c r="M34" s="1"/>
      <c r="N34" s="15"/>
      <c r="O34" s="1"/>
      <c r="P34" s="1"/>
      <c r="Q34" s="1"/>
      <c r="R34" s="1"/>
      <c r="S34" s="1"/>
      <c r="T34" s="15"/>
    </row>
    <row r="35" spans="1:20" ht="12.9" customHeight="1" x14ac:dyDescent="0.3">
      <c r="A35" s="8">
        <v>3</v>
      </c>
      <c r="B35" s="9" t="s">
        <v>19</v>
      </c>
      <c r="C35" s="1"/>
      <c r="D35" s="1"/>
      <c r="E35" s="1"/>
      <c r="F35" s="1"/>
      <c r="G35" s="1"/>
      <c r="H35" s="15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5"/>
    </row>
    <row r="36" spans="1:20" ht="12.9" customHeight="1" x14ac:dyDescent="0.3">
      <c r="A36" s="8">
        <v>4</v>
      </c>
      <c r="B36" s="9" t="s">
        <v>20</v>
      </c>
      <c r="C36" s="1"/>
      <c r="D36" s="1"/>
      <c r="E36" s="1"/>
      <c r="F36" s="1"/>
      <c r="G36" s="1"/>
      <c r="H36" s="15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5"/>
    </row>
    <row r="37" spans="1:20" ht="12.9" customHeight="1" x14ac:dyDescent="0.3">
      <c r="A37" s="8">
        <v>5</v>
      </c>
      <c r="B37" s="9" t="s">
        <v>16</v>
      </c>
      <c r="C37" s="1"/>
      <c r="D37" s="1"/>
      <c r="E37" s="1"/>
      <c r="F37" s="1"/>
      <c r="G37" s="1"/>
      <c r="H37" s="15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5"/>
    </row>
    <row r="38" spans="1:20" ht="12.9" customHeight="1" x14ac:dyDescent="0.3">
      <c r="A38" s="8">
        <v>6</v>
      </c>
      <c r="B38" s="9" t="s">
        <v>17</v>
      </c>
      <c r="C38" s="1"/>
      <c r="D38" s="1"/>
      <c r="E38" s="1"/>
      <c r="F38" s="1"/>
      <c r="G38" s="1"/>
      <c r="H38" s="15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5"/>
    </row>
    <row r="39" spans="1:20" ht="12.9" customHeight="1" x14ac:dyDescent="0.3">
      <c r="A39" s="8">
        <v>7</v>
      </c>
      <c r="B39" s="9" t="s">
        <v>14</v>
      </c>
      <c r="C39" s="1"/>
      <c r="D39" s="1"/>
      <c r="E39" s="1"/>
      <c r="F39" s="1"/>
      <c r="G39" s="1"/>
      <c r="H39" s="15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5"/>
    </row>
    <row r="40" spans="1:20" ht="12.9" customHeight="1" x14ac:dyDescent="0.3">
      <c r="A40" s="8">
        <v>8</v>
      </c>
      <c r="B40" s="9" t="s">
        <v>15</v>
      </c>
      <c r="C40" s="1"/>
      <c r="D40" s="1"/>
      <c r="E40" s="1"/>
      <c r="F40" s="1"/>
      <c r="G40" s="1"/>
      <c r="H40" s="15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5"/>
    </row>
    <row r="41" spans="1:20" x14ac:dyDescent="0.3">
      <c r="A41" s="8">
        <v>9</v>
      </c>
      <c r="B41" s="9" t="s">
        <v>18</v>
      </c>
      <c r="C41" s="1"/>
      <c r="D41" s="1"/>
      <c r="E41" s="1"/>
      <c r="F41" s="1"/>
      <c r="G41" s="1"/>
      <c r="H41" s="15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5"/>
    </row>
    <row r="54" spans="3:19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3:19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3:19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3:19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3:19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3:19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3:19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</sheetData>
  <mergeCells count="29">
    <mergeCell ref="A1:T1"/>
    <mergeCell ref="A3:T3"/>
    <mergeCell ref="A4:A6"/>
    <mergeCell ref="B4:B6"/>
    <mergeCell ref="C4:H4"/>
    <mergeCell ref="I4:N4"/>
    <mergeCell ref="O4:T4"/>
    <mergeCell ref="C5:H5"/>
    <mergeCell ref="I5:N5"/>
    <mergeCell ref="O5:T5"/>
    <mergeCell ref="A2:T2"/>
    <mergeCell ref="A16:T16"/>
    <mergeCell ref="A17:A19"/>
    <mergeCell ref="B17:B19"/>
    <mergeCell ref="C17:H17"/>
    <mergeCell ref="I17:N17"/>
    <mergeCell ref="O17:T17"/>
    <mergeCell ref="C18:H18"/>
    <mergeCell ref="I18:N18"/>
    <mergeCell ref="O18:T18"/>
    <mergeCell ref="A29:T29"/>
    <mergeCell ref="A30:A32"/>
    <mergeCell ref="B30:B32"/>
    <mergeCell ref="C30:H30"/>
    <mergeCell ref="I30:N30"/>
    <mergeCell ref="O30:T30"/>
    <mergeCell ref="C31:H31"/>
    <mergeCell ref="I31:N31"/>
    <mergeCell ref="O31:T31"/>
  </mergeCells>
  <printOptions horizontalCentered="1"/>
  <pageMargins left="1.4173228346456694" right="0.23622047244094491" top="0.47244094488188981" bottom="0.19685039370078741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7"/>
  <sheetViews>
    <sheetView zoomScaleNormal="100" workbookViewId="0">
      <selection activeCell="Z15" sqref="Z15"/>
    </sheetView>
  </sheetViews>
  <sheetFormatPr defaultRowHeight="14.4" x14ac:dyDescent="0.3"/>
  <cols>
    <col min="1" max="1" width="3.109375" bestFit="1" customWidth="1"/>
    <col min="2" max="2" width="13.44140625" customWidth="1"/>
    <col min="3" max="22" width="5.77734375" customWidth="1"/>
  </cols>
  <sheetData>
    <row r="1" spans="1:25" ht="14.4" customHeight="1" x14ac:dyDescent="0.3">
      <c r="A1" s="114" t="s">
        <v>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8"/>
    </row>
    <row r="2" spans="1:25" x14ac:dyDescent="0.3">
      <c r="A2" s="116" t="s">
        <v>44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8"/>
      <c r="Y2" t="s">
        <v>50</v>
      </c>
    </row>
    <row r="3" spans="1:25" ht="12.9" customHeight="1" x14ac:dyDescent="0.3">
      <c r="A3" s="113" t="s">
        <v>46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8"/>
    </row>
    <row r="4" spans="1:25" ht="12.9" customHeight="1" x14ac:dyDescent="0.3">
      <c r="A4" s="77" t="s">
        <v>0</v>
      </c>
      <c r="B4" s="80" t="s">
        <v>40</v>
      </c>
      <c r="C4" s="83" t="s">
        <v>45</v>
      </c>
      <c r="D4" s="84"/>
      <c r="E4" s="84"/>
      <c r="F4" s="84"/>
      <c r="G4" s="84"/>
      <c r="H4" s="85"/>
      <c r="I4" s="83" t="s">
        <v>45</v>
      </c>
      <c r="J4" s="84"/>
      <c r="K4" s="84"/>
      <c r="L4" s="84"/>
      <c r="M4" s="84"/>
      <c r="N4" s="85"/>
      <c r="O4" s="83" t="s">
        <v>45</v>
      </c>
      <c r="P4" s="84"/>
      <c r="Q4" s="84"/>
      <c r="R4" s="84"/>
      <c r="S4" s="84"/>
      <c r="T4" s="85"/>
      <c r="U4" s="18"/>
    </row>
    <row r="5" spans="1:25" ht="12.9" customHeight="1" x14ac:dyDescent="0.3">
      <c r="A5" s="78"/>
      <c r="B5" s="81"/>
      <c r="C5" s="88" t="s">
        <v>27</v>
      </c>
      <c r="D5" s="89"/>
      <c r="E5" s="89"/>
      <c r="F5" s="89"/>
      <c r="G5" s="89"/>
      <c r="H5" s="90"/>
      <c r="I5" s="88" t="s">
        <v>28</v>
      </c>
      <c r="J5" s="89"/>
      <c r="K5" s="89"/>
      <c r="L5" s="89"/>
      <c r="M5" s="89"/>
      <c r="N5" s="90"/>
      <c r="O5" s="88" t="s">
        <v>29</v>
      </c>
      <c r="P5" s="89"/>
      <c r="Q5" s="89"/>
      <c r="R5" s="89"/>
      <c r="S5" s="89"/>
      <c r="T5" s="90"/>
      <c r="U5" s="18"/>
    </row>
    <row r="6" spans="1:25" ht="12.9" customHeight="1" x14ac:dyDescent="0.3">
      <c r="A6" s="79"/>
      <c r="B6" s="82"/>
      <c r="C6" s="1">
        <v>1</v>
      </c>
      <c r="D6" s="1">
        <v>2</v>
      </c>
      <c r="E6" s="1">
        <v>3</v>
      </c>
      <c r="F6" s="1">
        <v>4</v>
      </c>
      <c r="G6" s="1">
        <v>5</v>
      </c>
      <c r="H6" s="14" t="s">
        <v>4</v>
      </c>
      <c r="I6" s="1">
        <v>1</v>
      </c>
      <c r="J6" s="1">
        <v>2</v>
      </c>
      <c r="K6" s="1">
        <v>3</v>
      </c>
      <c r="L6" s="1">
        <v>4</v>
      </c>
      <c r="M6" s="1">
        <v>5</v>
      </c>
      <c r="N6" s="14" t="s">
        <v>4</v>
      </c>
      <c r="O6" s="1">
        <v>1</v>
      </c>
      <c r="P6" s="1">
        <v>2</v>
      </c>
      <c r="Q6" s="1">
        <v>3</v>
      </c>
      <c r="R6" s="1">
        <v>4</v>
      </c>
      <c r="S6" s="1">
        <v>5</v>
      </c>
      <c r="T6" s="14" t="s">
        <v>4</v>
      </c>
      <c r="U6" s="18"/>
    </row>
    <row r="7" spans="1:25" ht="12.9" customHeight="1" x14ac:dyDescent="0.3">
      <c r="A7" s="8">
        <v>1</v>
      </c>
      <c r="B7" s="9" t="s">
        <v>12</v>
      </c>
      <c r="C7" s="1"/>
      <c r="D7" s="1"/>
      <c r="E7" s="1"/>
      <c r="F7" s="1"/>
      <c r="G7" s="1"/>
      <c r="H7" s="15"/>
      <c r="I7" s="1"/>
      <c r="J7" s="1"/>
      <c r="K7" s="1"/>
      <c r="L7" s="1"/>
      <c r="M7" s="1"/>
      <c r="N7" s="15"/>
      <c r="O7" s="1"/>
      <c r="P7" s="1"/>
      <c r="Q7" s="1"/>
      <c r="R7" s="1"/>
      <c r="S7" s="1"/>
      <c r="T7" s="15"/>
      <c r="U7" s="18"/>
    </row>
    <row r="8" spans="1:25" ht="12.9" customHeight="1" x14ac:dyDescent="0.3">
      <c r="A8" s="8">
        <v>2</v>
      </c>
      <c r="B8" s="13" t="s">
        <v>13</v>
      </c>
      <c r="C8" s="1"/>
      <c r="D8" s="1"/>
      <c r="E8" s="1"/>
      <c r="F8" s="1"/>
      <c r="G8" s="1"/>
      <c r="H8" s="15"/>
      <c r="I8" s="1"/>
      <c r="J8" s="1"/>
      <c r="K8" s="1"/>
      <c r="L8" s="1"/>
      <c r="M8" s="1"/>
      <c r="N8" s="15"/>
      <c r="O8" s="1"/>
      <c r="P8" s="1"/>
      <c r="Q8" s="1"/>
      <c r="R8" s="1"/>
      <c r="S8" s="1"/>
      <c r="T8" s="15"/>
      <c r="U8" s="18"/>
    </row>
    <row r="9" spans="1:25" ht="12.9" customHeight="1" x14ac:dyDescent="0.3">
      <c r="A9" s="8">
        <v>3</v>
      </c>
      <c r="B9" s="13" t="s">
        <v>19</v>
      </c>
      <c r="C9" s="1"/>
      <c r="D9" s="1"/>
      <c r="E9" s="1"/>
      <c r="F9" s="1"/>
      <c r="G9" s="1"/>
      <c r="H9" s="15"/>
      <c r="I9" s="1"/>
      <c r="J9" s="1"/>
      <c r="K9" s="1"/>
      <c r="L9" s="1"/>
      <c r="M9" s="1"/>
      <c r="N9" s="15"/>
      <c r="O9" s="1"/>
      <c r="P9" s="1"/>
      <c r="Q9" s="1"/>
      <c r="R9" s="1"/>
      <c r="S9" s="1"/>
      <c r="T9" s="15"/>
      <c r="U9" s="18"/>
    </row>
    <row r="10" spans="1:25" ht="12.9" customHeight="1" x14ac:dyDescent="0.3">
      <c r="A10" s="8">
        <v>4</v>
      </c>
      <c r="B10" s="13" t="s">
        <v>20</v>
      </c>
      <c r="C10" s="1"/>
      <c r="D10" s="1"/>
      <c r="E10" s="1"/>
      <c r="F10" s="1"/>
      <c r="G10" s="1"/>
      <c r="H10" s="15"/>
      <c r="I10" s="1"/>
      <c r="J10" s="1"/>
      <c r="K10" s="1"/>
      <c r="L10" s="1"/>
      <c r="M10" s="1"/>
      <c r="N10" s="15"/>
      <c r="O10" s="1"/>
      <c r="P10" s="1"/>
      <c r="Q10" s="1"/>
      <c r="R10" s="1"/>
      <c r="S10" s="1"/>
      <c r="T10" s="15"/>
      <c r="U10" s="18"/>
    </row>
    <row r="11" spans="1:25" ht="12.9" customHeight="1" x14ac:dyDescent="0.3">
      <c r="A11" s="8">
        <v>5</v>
      </c>
      <c r="B11" s="13" t="s">
        <v>16</v>
      </c>
      <c r="C11" s="1"/>
      <c r="D11" s="1"/>
      <c r="E11" s="1"/>
      <c r="F11" s="1"/>
      <c r="G11" s="1"/>
      <c r="H11" s="15"/>
      <c r="I11" s="1"/>
      <c r="J11" s="1"/>
      <c r="K11" s="1"/>
      <c r="L11" s="1"/>
      <c r="M11" s="1"/>
      <c r="N11" s="15"/>
      <c r="O11" s="1"/>
      <c r="P11" s="1"/>
      <c r="Q11" s="1"/>
      <c r="R11" s="1"/>
      <c r="S11" s="1"/>
      <c r="T11" s="15"/>
      <c r="U11" s="18"/>
    </row>
    <row r="12" spans="1:25" ht="12.9" customHeight="1" x14ac:dyDescent="0.3">
      <c r="A12" s="8">
        <v>6</v>
      </c>
      <c r="B12" s="13" t="s">
        <v>17</v>
      </c>
      <c r="C12" s="1"/>
      <c r="D12" s="1"/>
      <c r="E12" s="1"/>
      <c r="F12" s="1"/>
      <c r="G12" s="1"/>
      <c r="H12" s="15"/>
      <c r="I12" s="1"/>
      <c r="J12" s="1"/>
      <c r="K12" s="1"/>
      <c r="L12" s="1"/>
      <c r="M12" s="1"/>
      <c r="N12" s="15"/>
      <c r="O12" s="1"/>
      <c r="P12" s="1"/>
      <c r="Q12" s="1"/>
      <c r="R12" s="1"/>
      <c r="S12" s="1"/>
      <c r="T12" s="15"/>
      <c r="U12" s="18"/>
    </row>
    <row r="13" spans="1:25" ht="12.9" customHeight="1" x14ac:dyDescent="0.3">
      <c r="A13" s="8">
        <v>7</v>
      </c>
      <c r="B13" s="13" t="s">
        <v>14</v>
      </c>
      <c r="C13" s="5"/>
      <c r="D13" s="1"/>
      <c r="E13" s="1"/>
      <c r="F13" s="1"/>
      <c r="G13" s="1"/>
      <c r="H13" s="15"/>
      <c r="I13" s="1"/>
      <c r="J13" s="1"/>
      <c r="K13" s="1"/>
      <c r="L13" s="1"/>
      <c r="M13" s="1"/>
      <c r="N13" s="15"/>
      <c r="O13" s="1"/>
      <c r="P13" s="1"/>
      <c r="Q13" s="1"/>
      <c r="R13" s="1"/>
      <c r="S13" s="1"/>
      <c r="T13" s="15"/>
      <c r="U13" s="18"/>
    </row>
    <row r="14" spans="1:25" ht="12.9" customHeight="1" x14ac:dyDescent="0.3">
      <c r="A14" s="8">
        <v>8</v>
      </c>
      <c r="B14" s="13" t="s">
        <v>15</v>
      </c>
      <c r="C14" s="5"/>
      <c r="D14" s="1"/>
      <c r="E14" s="1"/>
      <c r="F14" s="1"/>
      <c r="G14" s="1"/>
      <c r="H14" s="15"/>
      <c r="I14" s="1"/>
      <c r="J14" s="1"/>
      <c r="K14" s="1"/>
      <c r="L14" s="1"/>
      <c r="M14" s="1"/>
      <c r="N14" s="15"/>
      <c r="O14" s="1"/>
      <c r="P14" s="1"/>
      <c r="Q14" s="1"/>
      <c r="R14" s="1"/>
      <c r="S14" s="1"/>
      <c r="T14" s="15"/>
      <c r="U14" s="18"/>
    </row>
    <row r="15" spans="1:25" ht="12.9" customHeight="1" x14ac:dyDescent="0.3">
      <c r="A15" s="8">
        <v>9</v>
      </c>
      <c r="B15" s="13" t="s">
        <v>18</v>
      </c>
      <c r="C15" s="1"/>
      <c r="D15" s="1"/>
      <c r="E15" s="1"/>
      <c r="F15" s="1"/>
      <c r="G15" s="1"/>
      <c r="H15" s="15"/>
      <c r="I15" s="1"/>
      <c r="J15" s="1"/>
      <c r="K15" s="1"/>
      <c r="L15" s="1"/>
      <c r="M15" s="1"/>
      <c r="N15" s="15"/>
      <c r="O15" s="1"/>
      <c r="P15" s="1"/>
      <c r="Q15" s="1"/>
      <c r="R15" s="1"/>
      <c r="S15" s="1"/>
      <c r="T15" s="15"/>
      <c r="U15" s="18"/>
    </row>
    <row r="16" spans="1:25" ht="12.9" customHeight="1" x14ac:dyDescent="0.3">
      <c r="A16" s="113" t="s">
        <v>51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8"/>
    </row>
    <row r="17" spans="1:20" ht="12.9" customHeight="1" x14ac:dyDescent="0.3">
      <c r="A17" s="77" t="s">
        <v>0</v>
      </c>
      <c r="B17" s="80" t="s">
        <v>40</v>
      </c>
      <c r="C17" s="83" t="s">
        <v>45</v>
      </c>
      <c r="D17" s="84"/>
      <c r="E17" s="84"/>
      <c r="F17" s="84"/>
      <c r="G17" s="84"/>
      <c r="H17" s="85"/>
      <c r="I17" s="83" t="s">
        <v>45</v>
      </c>
      <c r="J17" s="84"/>
      <c r="K17" s="84"/>
      <c r="L17" s="84"/>
      <c r="M17" s="84"/>
      <c r="N17" s="85"/>
      <c r="O17" s="83" t="s">
        <v>45</v>
      </c>
      <c r="P17" s="84"/>
      <c r="Q17" s="84"/>
      <c r="R17" s="84"/>
      <c r="S17" s="84"/>
      <c r="T17" s="85"/>
    </row>
    <row r="18" spans="1:20" ht="12.9" customHeight="1" x14ac:dyDescent="0.3">
      <c r="A18" s="78"/>
      <c r="B18" s="81"/>
      <c r="C18" s="88" t="s">
        <v>27</v>
      </c>
      <c r="D18" s="89"/>
      <c r="E18" s="89"/>
      <c r="F18" s="89"/>
      <c r="G18" s="89"/>
      <c r="H18" s="90"/>
      <c r="I18" s="88" t="s">
        <v>28</v>
      </c>
      <c r="J18" s="89"/>
      <c r="K18" s="89"/>
      <c r="L18" s="89"/>
      <c r="M18" s="89"/>
      <c r="N18" s="90"/>
      <c r="O18" s="88" t="s">
        <v>29</v>
      </c>
      <c r="P18" s="89"/>
      <c r="Q18" s="89"/>
      <c r="R18" s="89"/>
      <c r="S18" s="89"/>
      <c r="T18" s="90"/>
    </row>
    <row r="19" spans="1:20" ht="12.9" customHeight="1" x14ac:dyDescent="0.3">
      <c r="A19" s="79"/>
      <c r="B19" s="82"/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4" t="s">
        <v>4</v>
      </c>
      <c r="I19" s="1">
        <v>1</v>
      </c>
      <c r="J19" s="1">
        <v>2</v>
      </c>
      <c r="K19" s="1">
        <v>3</v>
      </c>
      <c r="L19" s="1">
        <v>4</v>
      </c>
      <c r="M19" s="1">
        <v>5</v>
      </c>
      <c r="N19" s="14" t="s">
        <v>4</v>
      </c>
      <c r="O19" s="1">
        <v>1</v>
      </c>
      <c r="P19" s="1">
        <v>2</v>
      </c>
      <c r="Q19" s="1">
        <v>3</v>
      </c>
      <c r="R19" s="1">
        <v>4</v>
      </c>
      <c r="S19" s="1">
        <v>5</v>
      </c>
      <c r="T19" s="14" t="s">
        <v>4</v>
      </c>
    </row>
    <row r="20" spans="1:20" ht="12.9" customHeight="1" x14ac:dyDescent="0.3">
      <c r="A20" s="8">
        <v>1</v>
      </c>
      <c r="B20" s="9" t="s">
        <v>12</v>
      </c>
      <c r="C20" s="1"/>
      <c r="D20" s="1"/>
      <c r="E20" s="1"/>
      <c r="F20" s="1"/>
      <c r="G20" s="1"/>
      <c r="H20" s="15"/>
      <c r="I20" s="1"/>
      <c r="J20" s="1"/>
      <c r="K20" s="1"/>
      <c r="L20" s="1"/>
      <c r="M20" s="1"/>
      <c r="N20" s="15"/>
      <c r="O20" s="1"/>
      <c r="P20" s="1"/>
      <c r="Q20" s="1"/>
      <c r="R20" s="1"/>
      <c r="S20" s="1"/>
      <c r="T20" s="15"/>
    </row>
    <row r="21" spans="1:20" ht="12.9" customHeight="1" x14ac:dyDescent="0.3">
      <c r="A21" s="8">
        <v>2</v>
      </c>
      <c r="B21" s="13" t="s">
        <v>13</v>
      </c>
      <c r="C21" s="1"/>
      <c r="D21" s="1"/>
      <c r="E21" s="1"/>
      <c r="F21" s="1"/>
      <c r="G21" s="1"/>
      <c r="H21" s="15"/>
      <c r="I21" s="1"/>
      <c r="J21" s="1"/>
      <c r="K21" s="1"/>
      <c r="L21" s="1"/>
      <c r="M21" s="1"/>
      <c r="N21" s="15"/>
      <c r="O21" s="1"/>
      <c r="P21" s="1"/>
      <c r="Q21" s="1"/>
      <c r="R21" s="1"/>
      <c r="S21" s="1"/>
      <c r="T21" s="15"/>
    </row>
    <row r="22" spans="1:20" ht="12.9" customHeight="1" x14ac:dyDescent="0.3">
      <c r="A22" s="8">
        <v>3</v>
      </c>
      <c r="B22" s="13" t="s">
        <v>19</v>
      </c>
      <c r="C22" s="1"/>
      <c r="D22" s="1"/>
      <c r="E22" s="1"/>
      <c r="F22" s="1"/>
      <c r="G22" s="1"/>
      <c r="H22" s="15"/>
      <c r="I22" s="1"/>
      <c r="J22" s="1"/>
      <c r="K22" s="1"/>
      <c r="L22" s="1"/>
      <c r="M22" s="1"/>
      <c r="N22" s="15"/>
      <c r="O22" s="1"/>
      <c r="P22" s="1"/>
      <c r="Q22" s="1"/>
      <c r="R22" s="1"/>
      <c r="S22" s="1"/>
      <c r="T22" s="15"/>
    </row>
    <row r="23" spans="1:20" ht="12.9" customHeight="1" x14ac:dyDescent="0.3">
      <c r="A23" s="8">
        <v>4</v>
      </c>
      <c r="B23" s="13" t="s">
        <v>20</v>
      </c>
      <c r="C23" s="1"/>
      <c r="D23" s="1"/>
      <c r="E23" s="1"/>
      <c r="F23" s="1"/>
      <c r="G23" s="1"/>
      <c r="H23" s="15"/>
      <c r="I23" s="1"/>
      <c r="J23" s="1"/>
      <c r="K23" s="1"/>
      <c r="L23" s="1"/>
      <c r="M23" s="1"/>
      <c r="N23" s="15"/>
      <c r="O23" s="1"/>
      <c r="P23" s="1"/>
      <c r="Q23" s="1"/>
      <c r="R23" s="1"/>
      <c r="S23" s="1"/>
      <c r="T23" s="15"/>
    </row>
    <row r="24" spans="1:20" ht="12.9" customHeight="1" x14ac:dyDescent="0.3">
      <c r="A24" s="8">
        <v>5</v>
      </c>
      <c r="B24" s="13" t="s">
        <v>16</v>
      </c>
      <c r="C24" s="1"/>
      <c r="D24" s="1"/>
      <c r="E24" s="1"/>
      <c r="F24" s="1"/>
      <c r="G24" s="1"/>
      <c r="H24" s="15"/>
      <c r="I24" s="1"/>
      <c r="J24" s="1"/>
      <c r="K24" s="1"/>
      <c r="L24" s="1"/>
      <c r="M24" s="1"/>
      <c r="N24" s="15"/>
      <c r="O24" s="1"/>
      <c r="P24" s="1"/>
      <c r="Q24" s="1"/>
      <c r="R24" s="1"/>
      <c r="S24" s="1"/>
      <c r="T24" s="15"/>
    </row>
    <row r="25" spans="1:20" ht="12.9" customHeight="1" x14ac:dyDescent="0.3">
      <c r="A25" s="8">
        <v>6</v>
      </c>
      <c r="B25" s="13" t="s">
        <v>17</v>
      </c>
      <c r="C25" s="1"/>
      <c r="D25" s="1"/>
      <c r="E25" s="1"/>
      <c r="F25" s="1"/>
      <c r="G25" s="1"/>
      <c r="H25" s="15"/>
      <c r="I25" s="1"/>
      <c r="J25" s="1"/>
      <c r="K25" s="1"/>
      <c r="L25" s="1"/>
      <c r="M25" s="1"/>
      <c r="N25" s="15"/>
      <c r="O25" s="1"/>
      <c r="P25" s="1"/>
      <c r="Q25" s="1"/>
      <c r="R25" s="1"/>
      <c r="S25" s="1"/>
      <c r="T25" s="15"/>
    </row>
    <row r="26" spans="1:20" ht="12.9" customHeight="1" x14ac:dyDescent="0.3">
      <c r="A26" s="8">
        <v>7</v>
      </c>
      <c r="B26" s="13" t="s">
        <v>14</v>
      </c>
      <c r="C26" s="8"/>
      <c r="D26" s="1"/>
      <c r="E26" s="1"/>
      <c r="F26" s="1"/>
      <c r="G26" s="1"/>
      <c r="H26" s="15"/>
      <c r="I26" s="1"/>
      <c r="J26" s="1"/>
      <c r="K26" s="1"/>
      <c r="L26" s="1"/>
      <c r="M26" s="1"/>
      <c r="N26" s="15"/>
      <c r="O26" s="1"/>
      <c r="P26" s="1"/>
      <c r="Q26" s="1"/>
      <c r="R26" s="1"/>
      <c r="S26" s="1"/>
      <c r="T26" s="15"/>
    </row>
    <row r="27" spans="1:20" ht="12.9" customHeight="1" x14ac:dyDescent="0.3">
      <c r="A27" s="8">
        <v>8</v>
      </c>
      <c r="B27" s="13" t="s">
        <v>15</v>
      </c>
      <c r="C27" s="8"/>
      <c r="D27" s="1"/>
      <c r="E27" s="1"/>
      <c r="F27" s="1"/>
      <c r="G27" s="1"/>
      <c r="H27" s="15"/>
      <c r="I27" s="1"/>
      <c r="J27" s="1"/>
      <c r="K27" s="1"/>
      <c r="L27" s="1"/>
      <c r="M27" s="1"/>
      <c r="N27" s="15"/>
      <c r="O27" s="1"/>
      <c r="P27" s="1"/>
      <c r="Q27" s="1"/>
      <c r="R27" s="1"/>
      <c r="S27" s="1"/>
      <c r="T27" s="15"/>
    </row>
    <row r="28" spans="1:20" ht="12.9" customHeight="1" x14ac:dyDescent="0.3">
      <c r="A28" s="8">
        <v>9</v>
      </c>
      <c r="B28" s="13" t="s">
        <v>18</v>
      </c>
      <c r="C28" s="1"/>
      <c r="D28" s="1"/>
      <c r="E28" s="1"/>
      <c r="F28" s="1"/>
      <c r="G28" s="1"/>
      <c r="H28" s="15"/>
      <c r="I28" s="1"/>
      <c r="J28" s="1"/>
      <c r="K28" s="1"/>
      <c r="L28" s="1"/>
      <c r="M28" s="1"/>
      <c r="N28" s="15"/>
      <c r="O28" s="1"/>
      <c r="P28" s="1"/>
      <c r="Q28" s="1"/>
      <c r="R28" s="1"/>
      <c r="S28" s="1"/>
      <c r="T28" s="15"/>
    </row>
    <row r="29" spans="1:20" ht="12.9" customHeight="1" x14ac:dyDescent="0.3">
      <c r="A29" s="113" t="s">
        <v>52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</row>
    <row r="30" spans="1:20" ht="12.9" customHeight="1" x14ac:dyDescent="0.3">
      <c r="A30" s="77" t="s">
        <v>0</v>
      </c>
      <c r="B30" s="80" t="s">
        <v>40</v>
      </c>
      <c r="C30" s="83" t="s">
        <v>45</v>
      </c>
      <c r="D30" s="84"/>
      <c r="E30" s="84"/>
      <c r="F30" s="84"/>
      <c r="G30" s="84"/>
      <c r="H30" s="85"/>
      <c r="I30" s="83" t="s">
        <v>45</v>
      </c>
      <c r="J30" s="84"/>
      <c r="K30" s="84"/>
      <c r="L30" s="84"/>
      <c r="M30" s="84"/>
      <c r="N30" s="85"/>
      <c r="O30" s="83" t="s">
        <v>45</v>
      </c>
      <c r="P30" s="84"/>
      <c r="Q30" s="84"/>
      <c r="R30" s="84"/>
      <c r="S30" s="84"/>
      <c r="T30" s="85"/>
    </row>
    <row r="31" spans="1:20" ht="12.9" customHeight="1" x14ac:dyDescent="0.3">
      <c r="A31" s="78"/>
      <c r="B31" s="81"/>
      <c r="C31" s="88" t="s">
        <v>27</v>
      </c>
      <c r="D31" s="89"/>
      <c r="E31" s="89"/>
      <c r="F31" s="89"/>
      <c r="G31" s="89"/>
      <c r="H31" s="90"/>
      <c r="I31" s="88" t="s">
        <v>28</v>
      </c>
      <c r="J31" s="89"/>
      <c r="K31" s="89"/>
      <c r="L31" s="89"/>
      <c r="M31" s="89"/>
      <c r="N31" s="90"/>
      <c r="O31" s="88" t="s">
        <v>29</v>
      </c>
      <c r="P31" s="89"/>
      <c r="Q31" s="89"/>
      <c r="R31" s="89"/>
      <c r="S31" s="89"/>
      <c r="T31" s="90"/>
    </row>
    <row r="32" spans="1:20" ht="12.9" customHeight="1" x14ac:dyDescent="0.3">
      <c r="A32" s="79"/>
      <c r="B32" s="82"/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4" t="s">
        <v>4</v>
      </c>
      <c r="I32" s="1">
        <v>1</v>
      </c>
      <c r="J32" s="1">
        <v>2</v>
      </c>
      <c r="K32" s="1">
        <v>3</v>
      </c>
      <c r="L32" s="1">
        <v>4</v>
      </c>
      <c r="M32" s="1">
        <v>5</v>
      </c>
      <c r="N32" s="14" t="s">
        <v>4</v>
      </c>
      <c r="O32" s="1">
        <v>1</v>
      </c>
      <c r="P32" s="1">
        <v>2</v>
      </c>
      <c r="Q32" s="1">
        <v>3</v>
      </c>
      <c r="R32" s="1">
        <v>4</v>
      </c>
      <c r="S32" s="1">
        <v>5</v>
      </c>
      <c r="T32" s="14" t="s">
        <v>4</v>
      </c>
    </row>
    <row r="33" spans="1:20" ht="12.9" customHeight="1" x14ac:dyDescent="0.3">
      <c r="A33" s="8">
        <v>1</v>
      </c>
      <c r="B33" s="9" t="s">
        <v>12</v>
      </c>
      <c r="C33" s="1"/>
      <c r="D33" s="1"/>
      <c r="E33" s="1"/>
      <c r="F33" s="1"/>
      <c r="G33" s="1"/>
      <c r="H33" s="15"/>
      <c r="I33" s="1"/>
      <c r="J33" s="1"/>
      <c r="K33" s="1"/>
      <c r="L33" s="1"/>
      <c r="M33" s="1"/>
      <c r="N33" s="15"/>
      <c r="O33" s="1"/>
      <c r="P33" s="1"/>
      <c r="Q33" s="1"/>
      <c r="R33" s="1"/>
      <c r="S33" s="1"/>
      <c r="T33" s="15"/>
    </row>
    <row r="34" spans="1:20" ht="12.9" customHeight="1" x14ac:dyDescent="0.3">
      <c r="A34" s="8">
        <v>2</v>
      </c>
      <c r="B34" s="13" t="s">
        <v>13</v>
      </c>
      <c r="C34" s="1"/>
      <c r="D34" s="1"/>
      <c r="E34" s="1"/>
      <c r="F34" s="1"/>
      <c r="G34" s="1"/>
      <c r="H34" s="15"/>
      <c r="I34" s="1"/>
      <c r="J34" s="1"/>
      <c r="K34" s="1"/>
      <c r="L34" s="1"/>
      <c r="M34" s="1"/>
      <c r="N34" s="15"/>
      <c r="O34" s="1"/>
      <c r="P34" s="1"/>
      <c r="Q34" s="1"/>
      <c r="R34" s="1"/>
      <c r="S34" s="1"/>
      <c r="T34" s="15"/>
    </row>
    <row r="35" spans="1:20" ht="12.9" customHeight="1" x14ac:dyDescent="0.3">
      <c r="A35" s="8">
        <v>3</v>
      </c>
      <c r="B35" s="13" t="s">
        <v>19</v>
      </c>
      <c r="C35" s="1"/>
      <c r="D35" s="1"/>
      <c r="E35" s="1"/>
      <c r="F35" s="1"/>
      <c r="G35" s="1"/>
      <c r="H35" s="15"/>
      <c r="I35" s="1"/>
      <c r="J35" s="1"/>
      <c r="K35" s="1"/>
      <c r="L35" s="1"/>
      <c r="M35" s="1"/>
      <c r="N35" s="15"/>
      <c r="O35" s="1"/>
      <c r="P35" s="1"/>
      <c r="Q35" s="1"/>
      <c r="R35" s="1"/>
      <c r="S35" s="1"/>
      <c r="T35" s="15"/>
    </row>
    <row r="36" spans="1:20" ht="12.9" customHeight="1" x14ac:dyDescent="0.3">
      <c r="A36" s="8">
        <v>4</v>
      </c>
      <c r="B36" s="13" t="s">
        <v>20</v>
      </c>
      <c r="C36" s="1"/>
      <c r="D36" s="1"/>
      <c r="E36" s="1"/>
      <c r="F36" s="1"/>
      <c r="G36" s="1"/>
      <c r="H36" s="15"/>
      <c r="I36" s="1"/>
      <c r="J36" s="1"/>
      <c r="K36" s="1"/>
      <c r="L36" s="1"/>
      <c r="M36" s="1"/>
      <c r="N36" s="15"/>
      <c r="O36" s="1"/>
      <c r="P36" s="1"/>
      <c r="Q36" s="1"/>
      <c r="R36" s="1"/>
      <c r="S36" s="1"/>
      <c r="T36" s="15"/>
    </row>
    <row r="37" spans="1:20" ht="12.9" customHeight="1" x14ac:dyDescent="0.3">
      <c r="A37" s="8">
        <v>5</v>
      </c>
      <c r="B37" s="13" t="s">
        <v>16</v>
      </c>
      <c r="C37" s="1"/>
      <c r="D37" s="1"/>
      <c r="E37" s="1"/>
      <c r="F37" s="1"/>
      <c r="G37" s="1"/>
      <c r="H37" s="15"/>
      <c r="I37" s="1"/>
      <c r="J37" s="1"/>
      <c r="K37" s="1"/>
      <c r="L37" s="1"/>
      <c r="M37" s="1"/>
      <c r="N37" s="15"/>
      <c r="O37" s="1"/>
      <c r="P37" s="1"/>
      <c r="Q37" s="1"/>
      <c r="R37" s="1"/>
      <c r="S37" s="1"/>
      <c r="T37" s="15"/>
    </row>
    <row r="38" spans="1:20" ht="12.9" customHeight="1" x14ac:dyDescent="0.3">
      <c r="A38" s="8">
        <v>6</v>
      </c>
      <c r="B38" s="13" t="s">
        <v>17</v>
      </c>
      <c r="C38" s="1"/>
      <c r="D38" s="1"/>
      <c r="E38" s="1"/>
      <c r="F38" s="1"/>
      <c r="G38" s="1"/>
      <c r="H38" s="15"/>
      <c r="I38" s="1"/>
      <c r="J38" s="1"/>
      <c r="K38" s="1"/>
      <c r="L38" s="1"/>
      <c r="M38" s="1"/>
      <c r="N38" s="15"/>
      <c r="O38" s="1"/>
      <c r="P38" s="1"/>
      <c r="Q38" s="1"/>
      <c r="R38" s="1"/>
      <c r="S38" s="1"/>
      <c r="T38" s="15"/>
    </row>
    <row r="39" spans="1:20" ht="12.9" customHeight="1" x14ac:dyDescent="0.3">
      <c r="A39" s="8">
        <v>7</v>
      </c>
      <c r="B39" s="13" t="s">
        <v>14</v>
      </c>
      <c r="C39" s="8"/>
      <c r="D39" s="1"/>
      <c r="E39" s="1"/>
      <c r="F39" s="1"/>
      <c r="G39" s="1"/>
      <c r="H39" s="15"/>
      <c r="I39" s="1"/>
      <c r="J39" s="1"/>
      <c r="K39" s="1"/>
      <c r="L39" s="1"/>
      <c r="M39" s="1"/>
      <c r="N39" s="15"/>
      <c r="O39" s="1"/>
      <c r="P39" s="1"/>
      <c r="Q39" s="1"/>
      <c r="R39" s="1"/>
      <c r="S39" s="1"/>
      <c r="T39" s="15"/>
    </row>
    <row r="40" spans="1:20" ht="12.9" customHeight="1" x14ac:dyDescent="0.3">
      <c r="A40" s="8">
        <v>8</v>
      </c>
      <c r="B40" s="13" t="s">
        <v>15</v>
      </c>
      <c r="C40" s="8"/>
      <c r="D40" s="1"/>
      <c r="E40" s="1"/>
      <c r="F40" s="1"/>
      <c r="G40" s="1"/>
      <c r="H40" s="15"/>
      <c r="I40" s="1"/>
      <c r="J40" s="1"/>
      <c r="K40" s="1"/>
      <c r="L40" s="1"/>
      <c r="M40" s="1"/>
      <c r="N40" s="15"/>
      <c r="O40" s="1"/>
      <c r="P40" s="1"/>
      <c r="Q40" s="1"/>
      <c r="R40" s="1"/>
      <c r="S40" s="1"/>
      <c r="T40" s="15"/>
    </row>
    <row r="41" spans="1:20" ht="12.9" customHeight="1" x14ac:dyDescent="0.3">
      <c r="A41" s="8">
        <v>9</v>
      </c>
      <c r="B41" s="13" t="s">
        <v>18</v>
      </c>
      <c r="C41" s="1"/>
      <c r="D41" s="1"/>
      <c r="E41" s="1"/>
      <c r="F41" s="1"/>
      <c r="G41" s="1"/>
      <c r="H41" s="15"/>
      <c r="I41" s="1"/>
      <c r="J41" s="1"/>
      <c r="K41" s="1"/>
      <c r="L41" s="1"/>
      <c r="M41" s="1"/>
      <c r="N41" s="15"/>
      <c r="O41" s="1"/>
      <c r="P41" s="1"/>
      <c r="Q41" s="1"/>
      <c r="R41" s="1"/>
      <c r="S41" s="1"/>
      <c r="T41" s="15"/>
    </row>
    <row r="42" spans="1:20" ht="12.9" customHeight="1" x14ac:dyDescent="0.3"/>
    <row r="43" spans="1:20" ht="12.9" customHeight="1" x14ac:dyDescent="0.3"/>
    <row r="44" spans="1:20" ht="12.9" customHeight="1" x14ac:dyDescent="0.3"/>
    <row r="45" spans="1:20" ht="12.9" customHeight="1" x14ac:dyDescent="0.3"/>
    <row r="46" spans="1:20" ht="12.9" customHeight="1" x14ac:dyDescent="0.3"/>
    <row r="47" spans="1:20" ht="12.9" customHeight="1" x14ac:dyDescent="0.3"/>
  </sheetData>
  <mergeCells count="29">
    <mergeCell ref="A16:T16"/>
    <mergeCell ref="A17:A19"/>
    <mergeCell ref="B17:B19"/>
    <mergeCell ref="C17:H17"/>
    <mergeCell ref="I17:N17"/>
    <mergeCell ref="O17:T17"/>
    <mergeCell ref="C18:H18"/>
    <mergeCell ref="I18:N18"/>
    <mergeCell ref="O18:T18"/>
    <mergeCell ref="A1:T1"/>
    <mergeCell ref="A3:T3"/>
    <mergeCell ref="A4:A6"/>
    <mergeCell ref="B4:B6"/>
    <mergeCell ref="C4:H4"/>
    <mergeCell ref="I4:N4"/>
    <mergeCell ref="O4:T4"/>
    <mergeCell ref="C5:H5"/>
    <mergeCell ref="I5:N5"/>
    <mergeCell ref="O5:T5"/>
    <mergeCell ref="A2:T2"/>
    <mergeCell ref="A29:T29"/>
    <mergeCell ref="A30:A32"/>
    <mergeCell ref="B30:B32"/>
    <mergeCell ref="C30:H30"/>
    <mergeCell ref="I30:N30"/>
    <mergeCell ref="O30:T30"/>
    <mergeCell ref="C31:H31"/>
    <mergeCell ref="I31:N31"/>
    <mergeCell ref="O31:T31"/>
  </mergeCells>
  <printOptions horizontalCentered="1"/>
  <pageMargins left="1.2204724409448819" right="0.19685039370078741" top="0.47244094488188981" bottom="0.19685039370078741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Jassids</vt:lpstr>
      <vt:lpstr>Thrip</vt:lpstr>
      <vt:lpstr>Whitefly</vt:lpstr>
      <vt:lpstr>Aphid</vt:lpstr>
      <vt:lpstr>Mites</vt:lpstr>
      <vt:lpstr>Mealybugs</vt:lpstr>
      <vt:lpstr>RCB</vt:lpstr>
      <vt:lpstr>RCB!Print_Area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2025-11-22T11:41:50Z</dcterms:modified>
</cp:coreProperties>
</file>